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SRCC_Correlation" sheetId="1" r:id="rId1"/>
    <sheet name="SRCC_PValue" sheetId="2" r:id="rId2"/>
    <sheet name="PLCC_Correlation" sheetId="3" r:id="rId3"/>
    <sheet name="PLCC_PValue" sheetId="4" r:id="rId4"/>
    <sheet name="Dataset_vs_ModelPerf_Merged" sheetId="5" r:id="rId5"/>
    <sheet name="Summary_Mean_St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<sst xmlns="http://schemas.openxmlformats.org/spreadsheetml/2006/main" count="351" uniqueCount="168">
  <si>
    <t/>
  </si>
  <si>
    <t>NSQE</t>
  </si>
  <si>
    <t>NSQE+Gra</t>
  </si>
  <si>
    <t>NSQE+Log</t>
  </si>
  <si>
    <t>NSQE+CV</t>
  </si>
  <si>
    <t>NSQE+Gra+Log</t>
  </si>
  <si>
    <t>NSQE+Gra+CV</t>
  </si>
  <si>
    <t>NSQE+Log+CV</t>
  </si>
  <si>
    <t>NSQE+Gra+Log+CV</t>
  </si>
  <si>
    <t>SNR</t>
  </si>
  <si>
    <t>PSNR</t>
  </si>
  <si>
    <t>SAM</t>
  </si>
  <si>
    <t>R2</t>
  </si>
  <si>
    <t>MSE</t>
  </si>
  <si>
    <t>RMSE</t>
  </si>
  <si>
    <t>MAE</t>
  </si>
  <si>
    <t>Cos_Sim</t>
  </si>
  <si>
    <t>LogCosh</t>
  </si>
  <si>
    <t>SRCC_p_value</t>
  </si>
  <si>
    <t>SSIM</t>
  </si>
  <si>
    <t>MAPE</t>
  </si>
  <si>
    <t>mean</t>
  </si>
  <si>
    <t>PLCC_p_value</t>
  </si>
  <si>
    <t>Category</t>
  </si>
  <si>
    <t>simulated_dataset_1</t>
  </si>
  <si>
    <t>simulated_dataset_2</t>
  </si>
  <si>
    <t>simulated_dataset_3</t>
  </si>
  <si>
    <t>simulated_dataset_4</t>
  </si>
  <si>
    <t>simulated_dataset_5</t>
  </si>
  <si>
    <t>simulated_dataset_6</t>
  </si>
  <si>
    <t>simulated_dataset_7</t>
  </si>
  <si>
    <t>simulated_dataset_8</t>
  </si>
  <si>
    <t>simulated_dataset_9</t>
  </si>
  <si>
    <t>simulated_dataset_10</t>
  </si>
  <si>
    <t>simulated_dataset_11</t>
  </si>
  <si>
    <t>simulated_dataset_12</t>
  </si>
  <si>
    <t>0.9653 ± 0.003624</t>
  </si>
  <si>
    <t>0.0003936 ± 4.207e-05</t>
  </si>
  <si>
    <t>0.01982 ± 0.001031</t>
  </si>
  <si>
    <t>0.0105 ± 0.0006818</t>
  </si>
  <si>
    <t>278.9 ± 53.64</t>
  </si>
  <si>
    <t>0.9874 ± 0.0007609</t>
  </si>
  <si>
    <t>0.0001964 ± 2.099e-05</t>
  </si>
  <si>
    <t>0.8502 ± 0.01606</t>
  </si>
  <si>
    <t>34.56 ± 0.4222</t>
  </si>
  <si>
    <t>18.15 ± 0.4088</t>
  </si>
  <si>
    <t>0.1407 ± 0.004443</t>
  </si>
  <si>
    <t>0.9568 ± 0.003834</t>
  </si>
  <si>
    <t>0.00049 ± 4.387e-05</t>
  </si>
  <si>
    <t>0.02212 ± 0.0009809</t>
  </si>
  <si>
    <t>0.01106 ± 0.0006913</t>
  </si>
  <si>
    <t>229 ± 35.01</t>
  </si>
  <si>
    <t>0.9845 ± 0.0008326</t>
  </si>
  <si>
    <t>0.0002443 ± 2.187e-05</t>
  </si>
  <si>
    <t>0.858 ± 0.01702</t>
  </si>
  <si>
    <t>33.46 ± 0.3806</t>
  </si>
  <si>
    <t>17.09 ± 0.353</t>
  </si>
  <si>
    <t>0.1568 ± 0.004199</t>
  </si>
  <si>
    <t>0.9486 ± 0.004987</t>
  </si>
  <si>
    <t>0.0005828 ± 5.505e-05</t>
  </si>
  <si>
    <t>0.02412 ± 0.001132</t>
  </si>
  <si>
    <t>0.01233 ± 0.0008283</t>
  </si>
  <si>
    <t>255.8 ± 47.34</t>
  </si>
  <si>
    <t>0.9819 ± 0.0008995</t>
  </si>
  <si>
    <t>0.0002904 ± 2.746e-05</t>
  </si>
  <si>
    <t>0.8341 ± 0.01619</t>
  </si>
  <si>
    <t>32.67 ± 0.3419</t>
  </si>
  <si>
    <t>16.37 ± 0.256</t>
  </si>
  <si>
    <t>0.1696 ± 0.004295</t>
  </si>
  <si>
    <t>0.9202 ± 0.006033</t>
  </si>
  <si>
    <t>0.0009111 ± 6.65e-05</t>
  </si>
  <si>
    <t>0.03017 ± 0.001098</t>
  </si>
  <si>
    <t>0.01498 ± 0.0007059</t>
  </si>
  <si>
    <t>284.8 ± 54.17</t>
  </si>
  <si>
    <t>0.973 ± 0.0009303</t>
  </si>
  <si>
    <t>0.0004528 ± 3.303e-05</t>
  </si>
  <si>
    <t>0.7973 ± 0.01363</t>
  </si>
  <si>
    <t>30.79 ± 0.2415</t>
  </si>
  <si>
    <t>14.56 ± 0.2366</t>
  </si>
  <si>
    <t>0.2069 ± 0.002471</t>
  </si>
  <si>
    <t>0.9645 ± 0.003639</t>
  </si>
  <si>
    <t>0.000401 ± 4.087e-05</t>
  </si>
  <si>
    <t>0.02 ± 0.001025</t>
  </si>
  <si>
    <t>0.01066 ± 0.0008201</t>
  </si>
  <si>
    <t>307.2 ± 40.99</t>
  </si>
  <si>
    <t>0.9872 ± 0.0009915</t>
  </si>
  <si>
    <t>0.0002 ± 2.038e-05</t>
  </si>
  <si>
    <t>0.8494 ± 0.0239</t>
  </si>
  <si>
    <t>34.49 ± 0.6486</t>
  </si>
  <si>
    <t>18.1 ± 0.6311</t>
  </si>
  <si>
    <t>0.142 ± 0.007257</t>
  </si>
  <si>
    <t>0.9655 ± 0.00236</t>
  </si>
  <si>
    <t>0.0003911 ± 2.767e-05</t>
  </si>
  <si>
    <t>0.01977 ± 0.0006977</t>
  </si>
  <si>
    <t>0.01032 ± 0.0005268</t>
  </si>
  <si>
    <t>296.3 ± 30.95</t>
  </si>
  <si>
    <t>0.9875 ± 0.0006197</t>
  </si>
  <si>
    <t>0.0001951 ± 1.38e-05</t>
  </si>
  <si>
    <t>0.8595 ± 0.01456</t>
  </si>
  <si>
    <t>34.82 ± 0.4366</t>
  </si>
  <si>
    <t>18.43 ± 0.425</t>
  </si>
  <si>
    <t>0.1388 ± 0.004454</t>
  </si>
  <si>
    <t>0.9682 ± 0.001089</t>
  </si>
  <si>
    <t>0.0003586 ± 1.306e-05</t>
  </si>
  <si>
    <t>0.01893 ± 0.0003401</t>
  </si>
  <si>
    <t>0.009423 ± 0.0003463</t>
  </si>
  <si>
    <t>191.6 ± 24.97</t>
  </si>
  <si>
    <t>0.988 ± 0.0002065</t>
  </si>
  <si>
    <t>0.0001789 ± 6.513e-06</t>
  </si>
  <si>
    <t>0.8824 ± 0.008537</t>
  </si>
  <si>
    <t>34.71 ± 0.2116</t>
  </si>
  <si>
    <t>18.23 ± 0.1774</t>
  </si>
  <si>
    <t>0.138 ± 0.001714</t>
  </si>
  <si>
    <t>0.9671 ± 0.001533</t>
  </si>
  <si>
    <t>0.0003713 ± 1.735e-05</t>
  </si>
  <si>
    <t>0.01926 ± 0.0004456</t>
  </si>
  <si>
    <t>0.009607 ± 0.0004684</t>
  </si>
  <si>
    <t>197.2 ± 26.01</t>
  </si>
  <si>
    <t>0.9875 ± 0.0005649</t>
  </si>
  <si>
    <t>0.0001852 ± 8.634e-06</t>
  </si>
  <si>
    <t>0.8763 ± 0.01754</t>
  </si>
  <si>
    <t>34.57 ± 0.3951</t>
  </si>
  <si>
    <t>18.08 ± 0.3816</t>
  </si>
  <si>
    <t>0.1408 ± 0.004335</t>
  </si>
  <si>
    <t>0.9666 ± 0.001193</t>
  </si>
  <si>
    <t>0.0003767 ± 1.339e-05</t>
  </si>
  <si>
    <t>0.01941 ± 0.0003443</t>
  </si>
  <si>
    <t>0.009563 ± 0.0003037</t>
  </si>
  <si>
    <t>202.9 ± 20.15</t>
  </si>
  <si>
    <t>0.9875 ± 0.0002588</t>
  </si>
  <si>
    <t>0.0001879 ± 6.669e-06</t>
  </si>
  <si>
    <t>0.8836 ± 0.007584</t>
  </si>
  <si>
    <t>34.65 ± 0.187</t>
  </si>
  <si>
    <t>18.18 ± 0.1496</t>
  </si>
  <si>
    <t>0.1403 ± 0.001575</t>
  </si>
  <si>
    <t>0.9654 ± 0.001533</t>
  </si>
  <si>
    <t>0.0003899 ± 1.722e-05</t>
  </si>
  <si>
    <t>0.01974 ± 0.0004335</t>
  </si>
  <si>
    <t>0.009972 ± 0.0004937</t>
  </si>
  <si>
    <t>199.6 ± 24.69</t>
  </si>
  <si>
    <t>0.9871 ± 0.00036</t>
  </si>
  <si>
    <t>0.0001944 ± 8.567e-06</t>
  </si>
  <si>
    <t>0.8688 ± 0.01824</t>
  </si>
  <si>
    <t>34.28 ± 0.3714</t>
  </si>
  <si>
    <t>17.83 ± 0.3325</t>
  </si>
  <si>
    <t>0.1438 ± 0.002928</t>
  </si>
  <si>
    <t>0.9612 ± 0.001792</t>
  </si>
  <si>
    <t>0.0004393 ± 2.04e-05</t>
  </si>
  <si>
    <t>0.02095 ± 0.0004865</t>
  </si>
  <si>
    <t>0.01077 ± 0.000578</t>
  </si>
  <si>
    <t>232.3 ± 38.03</t>
  </si>
  <si>
    <t>0.9858 ± 0.0003763</t>
  </si>
  <si>
    <t>0.000219 ± 1.018e-05</t>
  </si>
  <si>
    <t>0.8544 ± 0.01793</t>
  </si>
  <si>
    <t>33.74 ± 0.4138</t>
  </si>
  <si>
    <t>17.38 ± 0.3856</t>
  </si>
  <si>
    <t>0.1508 ± 0.003734</t>
  </si>
  <si>
    <t>0.961 ± 0.001332</t>
  </si>
  <si>
    <t>0.0004405 ± 1.576e-05</t>
  </si>
  <si>
    <t>0.02098 ± 0.0003754</t>
  </si>
  <si>
    <t>0.01068 ± 0.0003632</t>
  </si>
  <si>
    <t>231.5 ± 21.57</t>
  </si>
  <si>
    <t>0.9858 ± 0.0002846</t>
  </si>
  <si>
    <t>0.0002196 ± 7.849e-06</t>
  </si>
  <si>
    <t>0.8569 ± 0.01135</t>
  </si>
  <si>
    <t>33.83 ± 0.1584</t>
  </si>
  <si>
    <t>17.44 ± 0.1194</t>
  </si>
  <si>
    <t>0.1503 ± 0.001688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</si>
</sst>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Fill="1"/>
    <xf numFmtId="0" fontId="1" fillId="0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115" zoomScaleNormal="115" workbookViewId="0">
      <selection activeCell="A6" sqref="$A6:$XFD6"/>
    </sheetView>
  </sheetViews>
  <sheetFormatPr defaultColWidth="9.02654867256637" defaultRowHeight="13.85"/>
  <cols>
    <col min="1" max="1" width="8.96460176991151" style="5" customWidth="1"/>
    <col min="2" max="2" width="19.5221238938053" style="5" customWidth="1"/>
    <col min="3" max="3" width="13.858407079646" style="5" customWidth="1"/>
    <col min="4" max="5" width="14.7345132743363" style="5" customWidth="1"/>
    <col min="6" max="7" width="14.8053097345133" style="5" customWidth="1"/>
    <col min="8" max="8" width="13.858407079646" style="5" customWidth="1"/>
    <col min="9" max="9" width="18.3185840707965" style="5" customWidth="1"/>
    <col min="10" max="10" width="14.7345132743363" style="5" customWidth="1"/>
    <col min="11" max="11" width="14.8053097345133" style="5" customWidth="1"/>
    <col min="12" max="12" width="14.7345132743363" style="5" customWidth="1"/>
    <col min="13" max="13" width="19.5221238938053" style="5" customWidth="1"/>
    <col min="14" max="14" width="19.5132743362832" style="5" customWidth="1"/>
    <col min="15" max="16" width="18.3185840707965" style="5" customWidth="1"/>
    <col min="17" max="17" width="14.7345132743363" style="5" customWidth="1"/>
    <col min="18" max="16384" width="9.02654867256637" style="5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2" t="s">
        <v>9</v>
      </c>
      <c r="B2" s="1">
        <v>-0.909090909090909</v>
      </c>
      <c r="C2" s="1">
        <v>-0.916083916083916</v>
      </c>
      <c r="D2" s="4">
        <v>-0.944055944055944</v>
      </c>
      <c r="E2" s="1">
        <v>-0.909090909090909</v>
      </c>
      <c r="F2" s="4">
        <v>-0.944055944055944</v>
      </c>
      <c r="G2" s="1">
        <v>-0.916083916083916</v>
      </c>
      <c r="H2" s="4">
        <v>-0.944055944055944</v>
      </c>
      <c r="I2" s="4">
        <v>-0.944055944055944</v>
      </c>
    </row>
    <row r="3" spans="1:9">
      <c r="A3" s="2" t="s">
        <v>10</v>
      </c>
      <c r="B3" s="1">
        <v>-0.874125874125874</v>
      </c>
      <c r="C3" s="1">
        <v>-0.881118881118881</v>
      </c>
      <c r="D3" s="4">
        <v>-0.923076923076923</v>
      </c>
      <c r="E3" s="1">
        <v>-0.874125874125874</v>
      </c>
      <c r="F3" s="4">
        <v>-0.923076923076923</v>
      </c>
      <c r="G3" s="1">
        <v>-0.881118881118881</v>
      </c>
      <c r="H3" s="4">
        <v>-0.923076923076923</v>
      </c>
      <c r="I3" s="4">
        <v>-0.923076923076923</v>
      </c>
    </row>
    <row r="4" spans="1:9">
      <c r="A4" s="2" t="s">
        <v>11</v>
      </c>
      <c r="B4" s="1">
        <v>0.867132867132867</v>
      </c>
      <c r="C4" s="1">
        <v>0.881118881118881</v>
      </c>
      <c r="D4" s="4">
        <v>0.944055944055944</v>
      </c>
      <c r="E4" s="1">
        <v>0.867132867132867</v>
      </c>
      <c r="F4" s="4">
        <v>0.944055944055944</v>
      </c>
      <c r="G4" s="1">
        <v>0.881118881118881</v>
      </c>
      <c r="H4" s="4">
        <v>0.944055944055944</v>
      </c>
      <c r="I4" s="4">
        <v>0.944055944055944</v>
      </c>
    </row>
    <row r="5" spans="1:9">
      <c r="A5" s="2" t="s">
        <v>12</v>
      </c>
      <c r="B5" s="1">
        <v>-0.741258741258741</v>
      </c>
      <c r="C5" s="1">
        <v>-0.748251748251748</v>
      </c>
      <c r="D5" s="1">
        <v>-0.846153846153846</v>
      </c>
      <c r="E5" s="1">
        <v>-0.741258741258741</v>
      </c>
      <c r="F5" s="1">
        <v>-0.846153846153846</v>
      </c>
      <c r="G5" s="1">
        <v>-0.748251748251748</v>
      </c>
      <c r="H5" s="1">
        <v>-0.846153846153846</v>
      </c>
      <c r="I5" s="1">
        <v>-0.846153846153846</v>
      </c>
    </row>
    <row r="6" spans="1:9">
      <c r="A6" s="2" t="s">
        <v>13</v>
      </c>
      <c r="B6" s="1">
        <v>0.699300699300699</v>
      </c>
      <c r="C6" s="1">
        <v>0.706293706293706</v>
      </c>
      <c r="D6" s="1">
        <v>0.811188811188811</v>
      </c>
      <c r="E6" s="1">
        <v>0.699300699300699</v>
      </c>
      <c r="F6" s="1">
        <v>0.811188811188811</v>
      </c>
      <c r="G6" s="1">
        <v>0.706293706293706</v>
      </c>
      <c r="H6" s="1">
        <v>0.811188811188811</v>
      </c>
      <c r="I6" s="1">
        <v>0.811188811188811</v>
      </c>
    </row>
    <row r="7" spans="1:9">
      <c r="A7" s="2" t="s">
        <v>14</v>
      </c>
      <c r="B7" s="1">
        <v>0.699300699300699</v>
      </c>
      <c r="C7" s="1">
        <v>0.706293706293706</v>
      </c>
      <c r="D7" s="1">
        <v>0.811188811188811</v>
      </c>
      <c r="E7" s="1">
        <v>0.699300699300699</v>
      </c>
      <c r="F7" s="1">
        <v>0.811188811188811</v>
      </c>
      <c r="G7" s="1">
        <v>0.706293706293706</v>
      </c>
      <c r="H7" s="1">
        <v>0.811188811188811</v>
      </c>
      <c r="I7" s="1">
        <v>0.811188811188811</v>
      </c>
    </row>
    <row r="8" spans="1:9">
      <c r="A8" s="2" t="s">
        <v>15</v>
      </c>
      <c r="B8" s="1">
        <v>0.685314685314685</v>
      </c>
      <c r="C8" s="1">
        <v>0.692307692307692</v>
      </c>
      <c r="D8" s="1">
        <v>0.797202797202797</v>
      </c>
      <c r="E8" s="1">
        <v>0.685314685314685</v>
      </c>
      <c r="F8" s="1">
        <v>0.797202797202797</v>
      </c>
      <c r="G8" s="1">
        <v>0.692307692307692</v>
      </c>
      <c r="H8" s="1">
        <v>0.797202797202797</v>
      </c>
      <c r="I8" s="1">
        <v>0.797202797202797</v>
      </c>
    </row>
    <row r="9" spans="1:9">
      <c r="A9" s="2" t="s">
        <v>16</v>
      </c>
      <c r="B9" s="1">
        <v>-0.867132867132867</v>
      </c>
      <c r="C9" s="1">
        <v>-0.874125874125874</v>
      </c>
      <c r="D9" s="1">
        <v>-0.944055944055944</v>
      </c>
      <c r="E9" s="1">
        <v>-0.867132867132867</v>
      </c>
      <c r="F9" s="1">
        <v>-0.944055944055944</v>
      </c>
      <c r="G9" s="1">
        <v>-0.874125874125874</v>
      </c>
      <c r="H9" s="1">
        <v>-0.944055944055944</v>
      </c>
      <c r="I9" s="1">
        <v>-0.944055944055944</v>
      </c>
    </row>
    <row r="10" spans="1:9">
      <c r="A10" s="2" t="s">
        <v>17</v>
      </c>
      <c r="B10" s="1">
        <v>0.699300699300699</v>
      </c>
      <c r="C10" s="1">
        <v>0.706293706293706</v>
      </c>
      <c r="D10" s="1">
        <v>0.811188811188811</v>
      </c>
      <c r="E10" s="1">
        <v>0.699300699300699</v>
      </c>
      <c r="F10" s="1">
        <v>0.811188811188811</v>
      </c>
      <c r="G10" s="1">
        <v>0.706293706293706</v>
      </c>
      <c r="H10" s="1">
        <v>0.811188811188811</v>
      </c>
      <c r="I10" s="1">
        <v>0.811188811188811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5" sqref="$A5:$XFD5"/>
    </sheetView>
  </sheetViews>
  <sheetFormatPr defaultColWidth="9.02654867256637" defaultRowHeight="13.85"/>
  <cols>
    <col min="1" max="1" width="8.96460176991151" style="1" customWidth="1"/>
    <col min="2" max="5" width="12.7964601769912" style="1" customWidth="1"/>
    <col min="6" max="7" width="14.8053097345133" style="1" customWidth="1"/>
    <col min="8" max="8" width="13.6106194690265" style="1" customWidth="1"/>
    <col min="9" max="10" width="18.3185840707965" style="1" customWidth="1"/>
    <col min="11" max="11" width="19.5132743362832" style="1" customWidth="1"/>
    <col min="12" max="13" width="18.3185840707965" style="1" customWidth="1"/>
    <col min="14" max="14" width="12.7964601769912" style="1" customWidth="1"/>
    <col min="15" max="16384" width="9.02654867256637" style="1"/>
  </cols>
  <sheetData>
    <row r="1" spans="1:9">
      <c r="A1" s="2" t="s">
        <v>0</v>
      </c>
      <c r="B1" s="2" t="s">
        <v>18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4" spans="1:9">
      <c r="A4" s="2" t="s">
        <v>9</v>
      </c>
      <c r="B4" s="1">
        <v>4.19104465303423e-5</v>
      </c>
      <c r="C4" s="1">
        <v>2.84280453485471e-5</v>
      </c>
      <c r="D4" s="1">
        <v>3.92726108096595e-6</v>
      </c>
      <c r="E4" s="1">
        <v>4.19104465303423e-5</v>
      </c>
      <c r="F4" s="1">
        <v>3.92726108096595e-6</v>
      </c>
      <c r="G4" s="1">
        <v>2.84280453485471e-5</v>
      </c>
      <c r="H4" s="1">
        <v>3.92726108096595e-6</v>
      </c>
      <c r="I4" s="1">
        <v>3.92726108096595e-6</v>
      </c>
    </row>
    <row r="5" spans="1:9">
      <c r="A5" s="2" t="s">
        <v>10</v>
      </c>
      <c r="B5" s="1">
        <v>0.000200713073324232</v>
      </c>
      <c r="C5" s="1">
        <v>0.000152674064676699</v>
      </c>
      <c r="D5" s="1">
        <v>1.8621951098681e-5</v>
      </c>
      <c r="E5" s="1">
        <v>0.000200713073324232</v>
      </c>
      <c r="F5" s="1">
        <v>1.8621951098681e-5</v>
      </c>
      <c r="G5" s="1">
        <v>0.000152674064676699</v>
      </c>
      <c r="H5" s="1">
        <v>1.8621951098681e-5</v>
      </c>
      <c r="I5" s="1">
        <v>1.8621951098681e-5</v>
      </c>
    </row>
    <row r="6" spans="1:9">
      <c r="A6" s="2" t="s">
        <v>19</v>
      </c>
      <c r="B6" s="1">
        <v>0.226206044935027</v>
      </c>
      <c r="C6" s="1">
        <v>0.217020225759978</v>
      </c>
      <c r="D6" s="1">
        <v>0.0899137363026391</v>
      </c>
      <c r="E6" s="1">
        <v>0.226206044935027</v>
      </c>
      <c r="F6" s="1">
        <v>0.0899137363026391</v>
      </c>
      <c r="G6" s="1">
        <v>0.217020225759978</v>
      </c>
      <c r="H6" s="1">
        <v>0.0899137363026391</v>
      </c>
      <c r="I6" s="1">
        <v>0.0899137363026391</v>
      </c>
    </row>
    <row r="7" spans="1:9">
      <c r="A7" s="2" t="s">
        <v>11</v>
      </c>
      <c r="B7" s="1">
        <v>0.000259811849861481</v>
      </c>
      <c r="C7" s="1">
        <v>0.000152674064676699</v>
      </c>
      <c r="D7" s="1">
        <v>3.92726108096595e-6</v>
      </c>
      <c r="E7" s="1">
        <v>0.000259811849861481</v>
      </c>
      <c r="F7" s="1">
        <v>3.92726108096595e-6</v>
      </c>
      <c r="G7" s="1">
        <v>0.000152674064676699</v>
      </c>
      <c r="H7" s="1">
        <v>3.92726108096595e-6</v>
      </c>
      <c r="I7" s="1">
        <v>3.92726108096595e-6</v>
      </c>
    </row>
    <row r="8" spans="1:9">
      <c r="A8" s="2" t="s">
        <v>12</v>
      </c>
      <c r="B8" s="1">
        <v>0.00580115047447824</v>
      </c>
      <c r="C8" s="1">
        <v>0.00512408169875306</v>
      </c>
      <c r="D8" s="1">
        <v>0.000521133700481005</v>
      </c>
      <c r="E8" s="1">
        <v>0.00580115047447824</v>
      </c>
      <c r="F8" s="1">
        <v>0.000521133700481005</v>
      </c>
      <c r="G8" s="1">
        <v>0.00512408169875306</v>
      </c>
      <c r="H8" s="1">
        <v>0.000521133700481005</v>
      </c>
      <c r="I8" s="1">
        <v>0.000521133700481005</v>
      </c>
    </row>
    <row r="9" spans="1:9">
      <c r="A9" s="2" t="s">
        <v>13</v>
      </c>
      <c r="B9" s="1">
        <v>0.0113741986426909</v>
      </c>
      <c r="C9" s="1">
        <v>0.0102451939411279</v>
      </c>
      <c r="D9" s="1">
        <v>0.00136331525272719</v>
      </c>
      <c r="E9" s="1">
        <v>0.0113741986426909</v>
      </c>
      <c r="F9" s="1">
        <v>0.00136331525272719</v>
      </c>
      <c r="G9" s="1">
        <v>0.0102451939411279</v>
      </c>
      <c r="H9" s="1">
        <v>0.00136331525272719</v>
      </c>
      <c r="I9" s="1">
        <v>0.00136331525272719</v>
      </c>
    </row>
    <row r="10" spans="1:9">
      <c r="A10" s="2" t="s">
        <v>14</v>
      </c>
      <c r="B10" s="1">
        <v>0.0113741986426909</v>
      </c>
      <c r="C10" s="1">
        <v>0.0102451939411279</v>
      </c>
      <c r="D10" s="1">
        <v>0.00136331525272719</v>
      </c>
      <c r="E10" s="1">
        <v>0.0113741986426909</v>
      </c>
      <c r="F10" s="1">
        <v>0.00136331525272719</v>
      </c>
      <c r="G10" s="1">
        <v>0.0102451939411279</v>
      </c>
      <c r="H10" s="1">
        <v>0.00136331525272719</v>
      </c>
      <c r="I10" s="1">
        <v>0.00136331525272719</v>
      </c>
    </row>
    <row r="11" spans="1:9">
      <c r="A11" s="2" t="s">
        <v>15</v>
      </c>
      <c r="B11" s="1">
        <v>0.0139059688143628</v>
      </c>
      <c r="C11" s="1">
        <v>0.0125930304960941</v>
      </c>
      <c r="D11" s="1">
        <v>0.00190036772552827</v>
      </c>
      <c r="E11" s="1">
        <v>0.0139059688143628</v>
      </c>
      <c r="F11" s="1">
        <v>0.00190036772552827</v>
      </c>
      <c r="G11" s="1">
        <v>0.0125930304960941</v>
      </c>
      <c r="H11" s="1">
        <v>0.00190036772552827</v>
      </c>
      <c r="I11" s="1">
        <v>0.00190036772552827</v>
      </c>
    </row>
    <row r="12" spans="1:9">
      <c r="A12" s="2" t="s">
        <v>20</v>
      </c>
      <c r="B12" s="1">
        <v>0.696683109395766</v>
      </c>
      <c r="C12" s="1">
        <v>0.745609480980708</v>
      </c>
      <c r="D12" s="1">
        <v>0.762121655996299</v>
      </c>
      <c r="E12" s="1">
        <v>0.696683109395766</v>
      </c>
      <c r="F12" s="1">
        <v>0.762121655996299</v>
      </c>
      <c r="G12" s="1">
        <v>0.745609480980708</v>
      </c>
      <c r="H12" s="1">
        <v>0.762121655996299</v>
      </c>
      <c r="I12" s="1">
        <v>0.762121655996299</v>
      </c>
    </row>
    <row r="13" spans="1:9">
      <c r="A13" s="2" t="s">
        <v>16</v>
      </c>
      <c r="B13" s="1">
        <v>0.000259811849861481</v>
      </c>
      <c r="C13" s="1">
        <v>0.000200713073324232</v>
      </c>
      <c r="D13" s="1">
        <v>3.92726108096595e-6</v>
      </c>
      <c r="E13" s="1">
        <v>0.000259811849861481</v>
      </c>
      <c r="F13" s="1">
        <v>3.92726108096595e-6</v>
      </c>
      <c r="G13" s="1">
        <v>0.000200713073324232</v>
      </c>
      <c r="H13" s="1">
        <v>3.92726108096595e-6</v>
      </c>
      <c r="I13" s="1">
        <v>3.92726108096595e-6</v>
      </c>
    </row>
    <row r="14" spans="1:9">
      <c r="A14" s="2" t="s">
        <v>17</v>
      </c>
      <c r="B14" s="1">
        <v>0.0113741986426909</v>
      </c>
      <c r="C14" s="1">
        <v>0.0102451939411279</v>
      </c>
      <c r="D14" s="1">
        <v>0.00136331525272719</v>
      </c>
      <c r="E14" s="1">
        <v>0.0113741986426909</v>
      </c>
      <c r="F14" s="1">
        <v>0.00136331525272719</v>
      </c>
      <c r="G14" s="1">
        <v>0.0102451939411279</v>
      </c>
      <c r="H14" s="1">
        <v>0.00136331525272719</v>
      </c>
      <c r="I14" s="1">
        <v>0.00136331525272719</v>
      </c>
    </row>
    <row r="16" s="1" customFormat="1" spans="1:9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</row>
    <row r="17" s="1" customFormat="1" spans="1:9">
      <c r="A17" s="2" t="s">
        <v>9</v>
      </c>
      <c r="B17" s="2" t="str">
        <f>IF(B4&lt;0.001,"***",IF(AND(B4&gt;=0.001,B4&lt;0.01),"**",IF(B4&gt;=0.05,"*")))</f>
        <v>***</v>
      </c>
      <c r="C17" s="2" t="str">
        <f>IF(C4&lt;0.001,"***",IF(AND(C4&gt;=0.001,C4&lt;0.01),"**",IF(C4&gt;=0.05,"*")))</f>
        <v>***</v>
      </c>
      <c r="D17" s="2" t="str">
        <f>IF(D4&lt;0.001,"***",IF(AND(D4&gt;=0.001,D4&lt;0.01),"**",IF(D4&gt;=0.05,"*")))</f>
        <v>***</v>
      </c>
      <c r="E17" s="2" t="str">
        <f>IF(E4&lt;0.001,"***",IF(AND(E4&gt;=0.001,E4&lt;0.01),"**",IF(E4&gt;=0.05,"*")))</f>
        <v>***</v>
      </c>
      <c r="F17" s="2" t="str">
        <f>IF(F4&lt;0.001,"***",IF(AND(F4&gt;=0.001,F4&lt;0.01),"**",IF(F4&gt;=0.05,"*")))</f>
        <v>***</v>
      </c>
      <c r="G17" s="2" t="str">
        <f>IF(G4&lt;0.001,"***",IF(AND(G4&gt;=0.001,G4&lt;0.01),"**",IF(G4&gt;=0.05,"*")))</f>
        <v>***</v>
      </c>
      <c r="H17" s="2" t="str">
        <f>IF(H4&lt;0.001,"***",IF(AND(H4&gt;=0.001,H4&lt;0.01),"**",IF(H4&gt;=0.05,"*")))</f>
        <v>***</v>
      </c>
      <c r="I17" s="2" t="str">
        <f>IF(I4&lt;0.001,"***",IF(AND(I4&gt;=0.001,I4&lt;0.01),"**",IF(I4&gt;=0.05,"*")))</f>
        <v>***</v>
      </c>
    </row>
    <row r="18" s="1" customFormat="1" spans="1:9">
      <c r="A18" s="2" t="s">
        <v>10</v>
      </c>
      <c r="B18" s="2" t="str">
        <f>IF(B5&lt;0.001,"***",IF(AND(B5&gt;=0.001,B5&lt;0.01),"**",IF(B5&gt;=0.05,"*")))</f>
        <v>***</v>
      </c>
      <c r="C18" s="2" t="str">
        <f>IF(C5&lt;0.001,"***",IF(AND(C5&gt;=0.001,C5&lt;0.01),"**",IF(C5&gt;=0.05,"*")))</f>
        <v>***</v>
      </c>
      <c r="D18" s="2" t="str">
        <f>IF(D5&lt;0.001,"***",IF(AND(D5&gt;=0.001,D5&lt;0.01),"**",IF(D5&gt;=0.05,"*")))</f>
        <v>***</v>
      </c>
      <c r="E18" s="2" t="str">
        <f>IF(E5&lt;0.001,"***",IF(AND(E5&gt;=0.001,E5&lt;0.01),"**",IF(E5&gt;=0.05,"*")))</f>
        <v>***</v>
      </c>
      <c r="F18" s="2" t="str">
        <f>IF(F5&lt;0.001,"***",IF(AND(F5&gt;=0.001,F5&lt;0.01),"**",IF(F5&gt;=0.05,"*")))</f>
        <v>***</v>
      </c>
      <c r="G18" s="2" t="str">
        <f>IF(G5&lt;0.001,"***",IF(AND(G5&gt;=0.001,G5&lt;0.01),"**",IF(G5&gt;=0.05,"*")))</f>
        <v>***</v>
      </c>
      <c r="H18" s="2" t="str">
        <f>IF(H5&lt;0.001,"***",IF(AND(H5&gt;=0.001,H5&lt;0.01),"**",IF(H5&gt;=0.05,"*")))</f>
        <v>***</v>
      </c>
      <c r="I18" s="2" t="str">
        <f>IF(I5&lt;0.001,"***",IF(AND(I5&gt;=0.001,I5&lt;0.01),"**",IF(I5&gt;=0.05,"*")))</f>
        <v>***</v>
      </c>
    </row>
    <row r="19" s="1" customFormat="1" spans="1:9">
      <c r="A19" s="2" t="s">
        <v>19</v>
      </c>
      <c r="B19" s="2" t="str">
        <f>IF(B6&lt;0.001,"***",IF(AND(B6&gt;=0.001,B6&lt;0.01),"**",IF(B6&gt;=0.05,"*")))</f>
        <v>*</v>
      </c>
      <c r="C19" s="2" t="str">
        <f>IF(C6&lt;0.001,"***",IF(AND(C6&gt;=0.001,C6&lt;0.01),"**",IF(C6&gt;=0.05,"*")))</f>
        <v>*</v>
      </c>
      <c r="D19" s="2" t="str">
        <f>IF(D6&lt;0.001,"***",IF(AND(D6&gt;=0.001,D6&lt;0.01),"**",IF(D6&gt;=0.05,"*")))</f>
        <v>*</v>
      </c>
      <c r="E19" s="2" t="str">
        <f>IF(E6&lt;0.001,"***",IF(AND(E6&gt;=0.001,E6&lt;0.01),"**",IF(E6&gt;=0.05,"*")))</f>
        <v>*</v>
      </c>
      <c r="F19" s="2" t="str">
        <f>IF(F6&lt;0.001,"***",IF(AND(F6&gt;=0.001,F6&lt;0.01),"**",IF(F6&gt;=0.05,"*")))</f>
        <v>*</v>
      </c>
      <c r="G19" s="2" t="str">
        <f>IF(G6&lt;0.001,"***",IF(AND(G6&gt;=0.001,G6&lt;0.01),"**",IF(G6&gt;=0.05,"*")))</f>
        <v>*</v>
      </c>
      <c r="H19" s="2" t="str">
        <f>IF(H6&lt;0.001,"***",IF(AND(H6&gt;=0.001,H6&lt;0.01),"**",IF(H6&gt;=0.05,"*")))</f>
        <v>*</v>
      </c>
      <c r="I19" s="2" t="str">
        <f>IF(I6&lt;0.001,"***",IF(AND(I6&gt;=0.001,I6&lt;0.01),"**",IF(I6&gt;=0.05,"*")))</f>
        <v>*</v>
      </c>
    </row>
    <row r="20" s="1" customFormat="1" spans="1:9">
      <c r="A20" s="2" t="s">
        <v>11</v>
      </c>
      <c r="B20" s="2" t="str">
        <f>IF(B7&lt;0.001,"***",IF(AND(B7&gt;=0.001,B7&lt;0.01),"**",IF(B7&gt;=0.05,"*")))</f>
        <v>***</v>
      </c>
      <c r="C20" s="2" t="str">
        <f>IF(C7&lt;0.001,"***",IF(AND(C7&gt;=0.001,C7&lt;0.01),"**",IF(C7&gt;=0.05,"*")))</f>
        <v>***</v>
      </c>
      <c r="D20" s="2" t="str">
        <f>IF(D7&lt;0.001,"***",IF(AND(D7&gt;=0.001,D7&lt;0.01),"**",IF(D7&gt;=0.05,"*")))</f>
        <v>***</v>
      </c>
      <c r="E20" s="2" t="str">
        <f>IF(E7&lt;0.001,"***",IF(AND(E7&gt;=0.001,E7&lt;0.01),"**",IF(E7&gt;=0.05,"*")))</f>
        <v>***</v>
      </c>
      <c r="F20" s="2" t="str">
        <f>IF(F7&lt;0.001,"***",IF(AND(F7&gt;=0.001,F7&lt;0.01),"**",IF(F7&gt;=0.05,"*")))</f>
        <v>***</v>
      </c>
      <c r="G20" s="2" t="str">
        <f>IF(G7&lt;0.001,"***",IF(AND(G7&gt;=0.001,G7&lt;0.01),"**",IF(G7&gt;=0.05,"*")))</f>
        <v>***</v>
      </c>
      <c r="H20" s="2" t="str">
        <f>IF(H7&lt;0.001,"***",IF(AND(H7&gt;=0.001,H7&lt;0.01),"**",IF(H7&gt;=0.05,"*")))</f>
        <v>***</v>
      </c>
      <c r="I20" s="2" t="str">
        <f>IF(I7&lt;0.001,"***",IF(AND(I7&gt;=0.001,I7&lt;0.01),"**",IF(I7&gt;=0.05,"*")))</f>
        <v>***</v>
      </c>
    </row>
    <row r="21" s="1" customFormat="1" spans="1:9">
      <c r="A21" s="2" t="s">
        <v>12</v>
      </c>
      <c r="B21" s="2" t="str">
        <f>IF(B8&lt;0.001,"***",IF(AND(B8&gt;=0.001,B8&lt;0.01),"**",IF(B8&gt;=0.05,"*")))</f>
        <v>**</v>
      </c>
      <c r="C21" s="2" t="str">
        <f>IF(C8&lt;0.001,"***",IF(AND(C8&gt;=0.001,C8&lt;0.01),"**",IF(C8&gt;=0.05,"*")))</f>
        <v>**</v>
      </c>
      <c r="D21" s="2" t="str">
        <f>IF(D8&lt;0.001,"***",IF(AND(D8&gt;=0.001,D8&lt;0.01),"**",IF(D8&gt;=0.05,"*")))</f>
        <v>***</v>
      </c>
      <c r="E21" s="2" t="str">
        <f>IF(E8&lt;0.001,"***",IF(AND(E8&gt;=0.001,E8&lt;0.01),"**",IF(E8&gt;=0.05,"*")))</f>
        <v>**</v>
      </c>
      <c r="F21" s="2" t="str">
        <f>IF(F8&lt;0.001,"***",IF(AND(F8&gt;=0.001,F8&lt;0.01),"**",IF(F8&gt;=0.05,"*")))</f>
        <v>***</v>
      </c>
      <c r="G21" s="2" t="str">
        <f>IF(G8&lt;0.001,"***",IF(AND(G8&gt;=0.001,G8&lt;0.01),"**",IF(G8&gt;=0.05,"*")))</f>
        <v>**</v>
      </c>
      <c r="H21" s="2" t="str">
        <f>IF(H8&lt;0.001,"***",IF(AND(H8&gt;=0.001,H8&lt;0.01),"**",IF(H8&gt;=0.05,"*")))</f>
        <v>***</v>
      </c>
      <c r="I21" s="2" t="str">
        <f>IF(I8&lt;0.001,"***",IF(AND(I8&gt;=0.001,I8&lt;0.01),"**",IF(I8&gt;=0.05,"*")))</f>
        <v>***</v>
      </c>
    </row>
    <row r="22" s="1" customFormat="1" spans="1:9">
      <c r="A22" s="2" t="s">
        <v>13</v>
      </c>
      <c r="B22" s="1" t="b">
        <f>IF(B9&lt;0.001,"***",IF(AND(B9&gt;=0.001,B9&lt;0.01),"**",IF(B9&gt;=0.05,"*")))</f>
        <v>0</v>
      </c>
      <c r="C22" s="1" t="b">
        <f>IF(C9&lt;0.001,"***",IF(AND(C9&gt;=0.001,C9&lt;0.01),"**",IF(C9&gt;=0.05,"*")))</f>
        <v>0</v>
      </c>
      <c r="D22" s="2" t="str">
        <f>IF(D9&lt;0.001,"***",IF(AND(D9&gt;=0.001,D9&lt;0.01),"**",IF(D9&gt;=0.05,"*")))</f>
        <v>**</v>
      </c>
      <c r="E22" s="1" t="b">
        <f>IF(E9&lt;0.001,"***",IF(AND(E9&gt;=0.001,E9&lt;0.01),"**",IF(E9&gt;=0.05,"*")))</f>
        <v>0</v>
      </c>
      <c r="F22" s="2" t="str">
        <f>IF(F9&lt;0.001,"***",IF(AND(F9&gt;=0.001,F9&lt;0.01),"**",IF(F9&gt;=0.05,"*")))</f>
        <v>**</v>
      </c>
      <c r="G22" s="1" t="b">
        <f>IF(G9&lt;0.001,"***",IF(AND(G9&gt;=0.001,G9&lt;0.01),"**",IF(G9&gt;=0.05,"*")))</f>
        <v>0</v>
      </c>
      <c r="H22" s="2" t="str">
        <f>IF(H9&lt;0.001,"***",IF(AND(H9&gt;=0.001,H9&lt;0.01),"**",IF(H9&gt;=0.05,"*")))</f>
        <v>**</v>
      </c>
      <c r="I22" s="2" t="str">
        <f>IF(I9&lt;0.001,"***",IF(AND(I9&gt;=0.001,I9&lt;0.01),"**",IF(I9&gt;=0.05,"*")))</f>
        <v>**</v>
      </c>
    </row>
    <row r="23" s="1" customFormat="1" spans="1:9">
      <c r="A23" s="2" t="s">
        <v>14</v>
      </c>
      <c r="B23" s="1" t="b">
        <f>IF(B10&lt;0.001,"***",IF(AND(B10&gt;=0.001,B10&lt;0.01),"**",IF(B10&gt;=0.05,"*")))</f>
        <v>0</v>
      </c>
      <c r="C23" s="1" t="b">
        <f>IF(C10&lt;0.001,"***",IF(AND(C10&gt;=0.001,C10&lt;0.01),"**",IF(C10&gt;=0.05,"*")))</f>
        <v>0</v>
      </c>
      <c r="D23" s="2" t="str">
        <f>IF(D10&lt;0.001,"***",IF(AND(D10&gt;=0.001,D10&lt;0.01),"**",IF(D10&gt;=0.05,"*")))</f>
        <v>**</v>
      </c>
      <c r="E23" s="1" t="b">
        <f>IF(E10&lt;0.001,"***",IF(AND(E10&gt;=0.001,E10&lt;0.01),"**",IF(E10&gt;=0.05,"*")))</f>
        <v>0</v>
      </c>
      <c r="F23" s="2" t="str">
        <f>IF(F10&lt;0.001,"***",IF(AND(F10&gt;=0.001,F10&lt;0.01),"**",IF(F10&gt;=0.05,"*")))</f>
        <v>**</v>
      </c>
      <c r="G23" s="1" t="b">
        <f>IF(G10&lt;0.001,"***",IF(AND(G10&gt;=0.001,G10&lt;0.01),"**",IF(G10&gt;=0.05,"*")))</f>
        <v>0</v>
      </c>
      <c r="H23" s="2" t="str">
        <f>IF(H10&lt;0.001,"***",IF(AND(H10&gt;=0.001,H10&lt;0.01),"**",IF(H10&gt;=0.05,"*")))</f>
        <v>**</v>
      </c>
      <c r="I23" s="2" t="str">
        <f>IF(I10&lt;0.001,"***",IF(AND(I10&gt;=0.001,I10&lt;0.01),"**",IF(I10&gt;=0.05,"*")))</f>
        <v>**</v>
      </c>
    </row>
    <row r="24" s="1" customFormat="1" spans="1:9">
      <c r="A24" s="2" t="s">
        <v>15</v>
      </c>
      <c r="B24" s="1" t="b">
        <f>IF(B11&lt;0.001,"***",IF(AND(B11&gt;=0.001,B11&lt;0.01),"**",IF(B11&gt;=0.05,"*")))</f>
        <v>0</v>
      </c>
      <c r="C24" s="1" t="b">
        <f>IF(C11&lt;0.001,"***",IF(AND(C11&gt;=0.001,C11&lt;0.01),"**",IF(C11&gt;=0.05,"*")))</f>
        <v>0</v>
      </c>
      <c r="D24" s="2" t="str">
        <f>IF(D11&lt;0.001,"***",IF(AND(D11&gt;=0.001,D11&lt;0.01),"**",IF(D11&gt;=0.05,"*")))</f>
        <v>**</v>
      </c>
      <c r="E24" s="1" t="b">
        <f>IF(E11&lt;0.001,"***",IF(AND(E11&gt;=0.001,E11&lt;0.01),"**",IF(E11&gt;=0.05,"*")))</f>
        <v>0</v>
      </c>
      <c r="F24" s="2" t="str">
        <f>IF(F11&lt;0.001,"***",IF(AND(F11&gt;=0.001,F11&lt;0.01),"**",IF(F11&gt;=0.05,"*")))</f>
        <v>**</v>
      </c>
      <c r="G24" s="1" t="b">
        <f>IF(G11&lt;0.001,"***",IF(AND(G11&gt;=0.001,G11&lt;0.01),"**",IF(G11&gt;=0.05,"*")))</f>
        <v>0</v>
      </c>
      <c r="H24" s="2" t="str">
        <f>IF(H11&lt;0.001,"***",IF(AND(H11&gt;=0.001,H11&lt;0.01),"**",IF(H11&gt;=0.05,"*")))</f>
        <v>**</v>
      </c>
      <c r="I24" s="2" t="str">
        <f>IF(I11&lt;0.001,"***",IF(AND(I11&gt;=0.001,I11&lt;0.01),"**",IF(I11&gt;=0.05,"*")))</f>
        <v>**</v>
      </c>
    </row>
    <row r="25" s="1" customFormat="1" spans="1:9">
      <c r="A25" s="2" t="s">
        <v>20</v>
      </c>
      <c r="B25" s="2" t="str">
        <f>IF(B12&lt;0.001,"***",IF(AND(B12&gt;=0.001,B12&lt;0.01),"**",IF(B12&gt;=0.05,"*")))</f>
        <v>*</v>
      </c>
      <c r="C25" s="2" t="str">
        <f>IF(C12&lt;0.001,"***",IF(AND(C12&gt;=0.001,C12&lt;0.01),"**",IF(C12&gt;=0.05,"*")))</f>
        <v>*</v>
      </c>
      <c r="D25" s="2" t="str">
        <f>IF(D12&lt;0.001,"***",IF(AND(D12&gt;=0.001,D12&lt;0.01),"**",IF(D12&gt;=0.05,"*")))</f>
        <v>*</v>
      </c>
      <c r="E25" s="2" t="str">
        <f>IF(E12&lt;0.001,"***",IF(AND(E12&gt;=0.001,E12&lt;0.01),"**",IF(E12&gt;=0.05,"*")))</f>
        <v>*</v>
      </c>
      <c r="F25" s="2" t="str">
        <f>IF(F12&lt;0.001,"***",IF(AND(F12&gt;=0.001,F12&lt;0.01),"**",IF(F12&gt;=0.05,"*")))</f>
        <v>*</v>
      </c>
      <c r="G25" s="2" t="str">
        <f>IF(G12&lt;0.001,"***",IF(AND(G12&gt;=0.001,G12&lt;0.01),"**",IF(G12&gt;=0.05,"*")))</f>
        <v>*</v>
      </c>
      <c r="H25" s="2" t="str">
        <f>IF(H12&lt;0.001,"***",IF(AND(H12&gt;=0.001,H12&lt;0.01),"**",IF(H12&gt;=0.05,"*")))</f>
        <v>*</v>
      </c>
      <c r="I25" s="2" t="str">
        <f>IF(I12&lt;0.001,"***",IF(AND(I12&gt;=0.001,I12&lt;0.01),"**",IF(I12&gt;=0.05,"*")))</f>
        <v>*</v>
      </c>
    </row>
    <row r="26" s="1" customFormat="1" spans="1:9">
      <c r="A26" s="2" t="s">
        <v>16</v>
      </c>
      <c r="B26" s="2" t="str">
        <f>IF(B13&lt;0.001,"***",IF(AND(B13&gt;=0.001,B13&lt;0.01),"**",IF(B13&gt;=0.05,"*")))</f>
        <v>***</v>
      </c>
      <c r="C26" s="2" t="str">
        <f>IF(C13&lt;0.001,"***",IF(AND(C13&gt;=0.001,C13&lt;0.01),"**",IF(C13&gt;=0.05,"*")))</f>
        <v>***</v>
      </c>
      <c r="D26" s="2" t="str">
        <f>IF(D13&lt;0.001,"***",IF(AND(D13&gt;=0.001,D13&lt;0.01),"**",IF(D13&gt;=0.05,"*")))</f>
        <v>***</v>
      </c>
      <c r="E26" s="2" t="str">
        <f>IF(E13&lt;0.001,"***",IF(AND(E13&gt;=0.001,E13&lt;0.01),"**",IF(E13&gt;=0.05,"*")))</f>
        <v>***</v>
      </c>
      <c r="F26" s="2" t="str">
        <f>IF(F13&lt;0.001,"***",IF(AND(F13&gt;=0.001,F13&lt;0.01),"**",IF(F13&gt;=0.05,"*")))</f>
        <v>***</v>
      </c>
      <c r="G26" s="2" t="str">
        <f>IF(G13&lt;0.001,"***",IF(AND(G13&gt;=0.001,G13&lt;0.01),"**",IF(G13&gt;=0.05,"*")))</f>
        <v>***</v>
      </c>
      <c r="H26" s="2" t="str">
        <f>IF(H13&lt;0.001,"***",IF(AND(H13&gt;=0.001,H13&lt;0.01),"**",IF(H13&gt;=0.05,"*")))</f>
        <v>***</v>
      </c>
      <c r="I26" s="2" t="str">
        <f>IF(I13&lt;0.001,"***",IF(AND(I13&gt;=0.001,I13&lt;0.01),"**",IF(I13&gt;=0.05,"*")))</f>
        <v>***</v>
      </c>
    </row>
    <row r="27" s="1" customFormat="1" spans="1:9">
      <c r="A27" s="2" t="s">
        <v>17</v>
      </c>
      <c r="B27" s="1" t="b">
        <f>IF(B14&lt;0.001,"***",IF(AND(B14&gt;=0.001,B14&lt;0.01),"**",IF(B14&gt;=0.05,"*")))</f>
        <v>0</v>
      </c>
      <c r="C27" s="1" t="b">
        <f>IF(C14&lt;0.001,"***",IF(AND(C14&gt;=0.001,C14&lt;0.01),"**",IF(C14&gt;=0.05,"*")))</f>
        <v>0</v>
      </c>
      <c r="D27" s="2" t="str">
        <f>IF(D14&lt;0.001,"***",IF(AND(D14&gt;=0.001,D14&lt;0.01),"**",IF(D14&gt;=0.05,"*")))</f>
        <v>**</v>
      </c>
      <c r="E27" s="1" t="b">
        <f>IF(E14&lt;0.001,"***",IF(AND(E14&gt;=0.001,E14&lt;0.01),"**",IF(E14&gt;=0.05,"*")))</f>
        <v>0</v>
      </c>
      <c r="F27" s="2" t="str">
        <f>IF(F14&lt;0.001,"***",IF(AND(F14&gt;=0.001,F14&lt;0.01),"**",IF(F14&gt;=0.05,"*")))</f>
        <v>**</v>
      </c>
      <c r="G27" s="1" t="b">
        <f>IF(G14&lt;0.001,"***",IF(AND(G14&gt;=0.001,G14&lt;0.01),"**",IF(G14&gt;=0.05,"*")))</f>
        <v>0</v>
      </c>
      <c r="H27" s="2" t="str">
        <f>IF(H14&lt;0.001,"***",IF(AND(H14&gt;=0.001,H14&lt;0.01),"**",IF(H14&gt;=0.05,"*")))</f>
        <v>**</v>
      </c>
      <c r="I27" s="2" t="str">
        <f>IF(I14&lt;0.001,"***",IF(AND(I14&gt;=0.001,I14&lt;0.01),"**",IF(I14&gt;=0.05,"*")))</f>
        <v>**</v>
      </c>
    </row>
    <row r="29" spans="1:9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3" t="s">
        <v>8</v>
      </c>
    </row>
    <row r="30" spans="1:9">
      <c r="A30" s="2" t="s">
        <v>9</v>
      </c>
      <c r="B30" s="1">
        <v>-0.909090909090909</v>
      </c>
      <c r="C30" s="1">
        <v>-0.916083916083916</v>
      </c>
      <c r="D30" s="4">
        <v>-0.944055944055944</v>
      </c>
      <c r="E30" s="1">
        <v>-0.909090909090909</v>
      </c>
      <c r="F30" s="4">
        <v>-0.944055944055944</v>
      </c>
      <c r="G30" s="1">
        <v>-0.916083916083916</v>
      </c>
      <c r="H30" s="4">
        <v>-0.944055944055944</v>
      </c>
      <c r="I30" s="4">
        <v>-0.944055944055944</v>
      </c>
    </row>
    <row r="31" spans="1:9">
      <c r="A31" s="2" t="s">
        <v>10</v>
      </c>
      <c r="B31" s="1">
        <v>-0.874125874125874</v>
      </c>
      <c r="C31" s="1">
        <v>-0.881118881118881</v>
      </c>
      <c r="D31" s="4">
        <v>-0.923076923076923</v>
      </c>
      <c r="E31" s="1">
        <v>-0.874125874125874</v>
      </c>
      <c r="F31" s="4">
        <v>-0.923076923076923</v>
      </c>
      <c r="G31" s="1">
        <v>-0.881118881118881</v>
      </c>
      <c r="H31" s="4">
        <v>-0.923076923076923</v>
      </c>
      <c r="I31" s="4">
        <v>-0.923076923076923</v>
      </c>
    </row>
    <row r="32" spans="1:9">
      <c r="A32" s="2" t="s">
        <v>11</v>
      </c>
      <c r="B32" s="1">
        <v>0.867132867132867</v>
      </c>
      <c r="C32" s="1">
        <v>0.881118881118881</v>
      </c>
      <c r="D32" s="4">
        <v>0.944055944055944</v>
      </c>
      <c r="E32" s="1">
        <v>0.867132867132867</v>
      </c>
      <c r="F32" s="4">
        <v>0.944055944055944</v>
      </c>
      <c r="G32" s="1">
        <v>0.881118881118881</v>
      </c>
      <c r="H32" s="4">
        <v>0.944055944055944</v>
      </c>
      <c r="I32" s="4">
        <v>0.944055944055944</v>
      </c>
    </row>
    <row r="33" spans="1:9">
      <c r="A33" s="2" t="s">
        <v>12</v>
      </c>
      <c r="B33" s="1">
        <v>-0.741258741258741</v>
      </c>
      <c r="C33" s="1">
        <v>-0.748251748251748</v>
      </c>
      <c r="D33" s="1">
        <v>-0.846153846153846</v>
      </c>
      <c r="E33" s="1">
        <v>-0.741258741258741</v>
      </c>
      <c r="F33" s="1">
        <v>-0.846153846153846</v>
      </c>
      <c r="G33" s="1">
        <v>-0.748251748251748</v>
      </c>
      <c r="H33" s="1">
        <v>-0.846153846153846</v>
      </c>
      <c r="I33" s="1">
        <v>-0.846153846153846</v>
      </c>
    </row>
    <row r="34" spans="1:9">
      <c r="A34" s="2" t="s">
        <v>13</v>
      </c>
      <c r="B34" s="1">
        <v>0.699300699300699</v>
      </c>
      <c r="C34" s="1">
        <v>0.706293706293706</v>
      </c>
      <c r="D34" s="1">
        <v>0.811188811188811</v>
      </c>
      <c r="E34" s="1">
        <v>0.699300699300699</v>
      </c>
      <c r="F34" s="1">
        <v>0.811188811188811</v>
      </c>
      <c r="G34" s="1">
        <v>0.706293706293706</v>
      </c>
      <c r="H34" s="1">
        <v>0.811188811188811</v>
      </c>
      <c r="I34" s="1">
        <v>0.811188811188811</v>
      </c>
    </row>
    <row r="35" spans="1:9">
      <c r="A35" s="2" t="s">
        <v>14</v>
      </c>
      <c r="B35" s="1">
        <v>0.699300699300699</v>
      </c>
      <c r="C35" s="1">
        <v>0.706293706293706</v>
      </c>
      <c r="D35" s="1">
        <v>0.811188811188811</v>
      </c>
      <c r="E35" s="1">
        <v>0.699300699300699</v>
      </c>
      <c r="F35" s="1">
        <v>0.811188811188811</v>
      </c>
      <c r="G35" s="1">
        <v>0.706293706293706</v>
      </c>
      <c r="H35" s="1">
        <v>0.811188811188811</v>
      </c>
      <c r="I35" s="1">
        <v>0.811188811188811</v>
      </c>
    </row>
    <row r="36" spans="1:9">
      <c r="A36" s="2" t="s">
        <v>15</v>
      </c>
      <c r="B36" s="1">
        <v>0.685314685314685</v>
      </c>
      <c r="C36" s="1">
        <v>0.692307692307692</v>
      </c>
      <c r="D36" s="1">
        <v>0.797202797202797</v>
      </c>
      <c r="E36" s="1">
        <v>0.685314685314685</v>
      </c>
      <c r="F36" s="1">
        <v>0.797202797202797</v>
      </c>
      <c r="G36" s="1">
        <v>0.692307692307692</v>
      </c>
      <c r="H36" s="1">
        <v>0.797202797202797</v>
      </c>
      <c r="I36" s="1">
        <v>0.797202797202797</v>
      </c>
    </row>
    <row r="37" spans="1:9">
      <c r="A37" s="2" t="s">
        <v>16</v>
      </c>
      <c r="B37" s="1">
        <v>-0.867132867132867</v>
      </c>
      <c r="C37" s="1">
        <v>-0.874125874125874</v>
      </c>
      <c r="D37" s="1">
        <v>-0.944055944055944</v>
      </c>
      <c r="E37" s="1">
        <v>-0.867132867132867</v>
      </c>
      <c r="F37" s="1">
        <v>-0.944055944055944</v>
      </c>
      <c r="G37" s="1">
        <v>-0.874125874125874</v>
      </c>
      <c r="H37" s="1">
        <v>-0.944055944055944</v>
      </c>
      <c r="I37" s="1">
        <v>-0.944055944055944</v>
      </c>
    </row>
    <row r="38" spans="1:9">
      <c r="A38" s="2" t="s">
        <v>17</v>
      </c>
      <c r="B38" s="1">
        <v>0.699300699300699</v>
      </c>
      <c r="C38" s="1">
        <v>0.706293706293706</v>
      </c>
      <c r="D38" s="1">
        <v>0.811188811188811</v>
      </c>
      <c r="E38" s="1">
        <v>0.699300699300699</v>
      </c>
      <c r="F38" s="1">
        <v>0.811188811188811</v>
      </c>
      <c r="G38" s="1">
        <v>0.706293706293706</v>
      </c>
      <c r="H38" s="1">
        <v>0.811188811188811</v>
      </c>
      <c r="I38" s="1">
        <v>0.811188811188811</v>
      </c>
    </row>
  </sheetData>
  <mergeCells count="1">
    <mergeCell ref="B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85" zoomScaleNormal="85" workbookViewId="0">
      <selection activeCell="A4" sqref="$A4:$XFD4"/>
    </sheetView>
  </sheetViews>
  <sheetFormatPr defaultColWidth="9.02654867256637" defaultRowHeight="13.85"/>
  <cols>
    <col min="1" max="1" width="9.02654867256637" style="1"/>
    <col min="2" max="2" width="13.858407079646" style="1" customWidth="1"/>
    <col min="3" max="4" width="14.7345132743363" style="1" customWidth="1"/>
    <col min="5" max="6" width="13.858407079646" style="1" customWidth="1"/>
    <col min="7" max="7" width="14.8053097345133" style="1" customWidth="1"/>
    <col min="8" max="8" width="14.7345132743363" style="1" customWidth="1"/>
    <col min="9" max="9" width="17.1858407079646" style="1" customWidth="1"/>
    <col min="10" max="10" width="14.7345132743363" style="1" customWidth="1"/>
    <col min="11" max="11" width="14.8053097345133" style="1" customWidth="1"/>
    <col min="12" max="12" width="13.858407079646" style="1" customWidth="1"/>
    <col min="13" max="13" width="18.3185840707965" style="1" customWidth="1"/>
    <col min="14" max="14" width="19.5132743362832" style="1" customWidth="1"/>
    <col min="15" max="16" width="18.3185840707965" style="1" customWidth="1"/>
    <col min="17" max="17" width="14.7345132743363" style="1" customWidth="1"/>
    <col min="18" max="16384" width="9.02654867256637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1">
        <v>-0.98052462887165</v>
      </c>
      <c r="C2" s="1">
        <v>-0.977655134149324</v>
      </c>
      <c r="D2" s="4">
        <v>-0.986134398235822</v>
      </c>
      <c r="E2" s="1">
        <v>-0.981022522103164</v>
      </c>
      <c r="F2" s="1">
        <v>-0.984670828538968</v>
      </c>
      <c r="G2" s="1">
        <v>-0.975479654069376</v>
      </c>
      <c r="H2" s="4">
        <v>-0.985880277706577</v>
      </c>
      <c r="I2" s="1">
        <v>-0.982728216784439</v>
      </c>
    </row>
    <row r="3" spans="1:9">
      <c r="A3" s="2" t="s">
        <v>10</v>
      </c>
      <c r="B3" s="1">
        <v>-0.980254242156337</v>
      </c>
      <c r="C3" s="1">
        <v>-0.977089614288685</v>
      </c>
      <c r="D3" s="4">
        <v>-0.986517020993849</v>
      </c>
      <c r="E3" s="1">
        <v>-0.980750693110066</v>
      </c>
      <c r="F3" s="1">
        <v>-0.984714979576894</v>
      </c>
      <c r="G3" s="1">
        <v>-0.974835379513907</v>
      </c>
      <c r="H3" s="4">
        <v>-0.986266781207947</v>
      </c>
      <c r="I3" s="1">
        <v>-0.982582665823889</v>
      </c>
    </row>
    <row r="4" spans="1:9">
      <c r="A4" s="2" t="s">
        <v>11</v>
      </c>
      <c r="B4" s="1">
        <v>0.993641394552541</v>
      </c>
      <c r="C4" s="1">
        <v>0.992839520567348</v>
      </c>
      <c r="D4" s="1">
        <v>0.992797952481359</v>
      </c>
      <c r="E4" s="1">
        <v>0.993812564779599</v>
      </c>
      <c r="F4" s="4">
        <v>0.994826809542016</v>
      </c>
      <c r="G4" s="1">
        <v>0.991854689338912</v>
      </c>
      <c r="H4" s="1">
        <v>0.992810812165411</v>
      </c>
      <c r="I4" s="4">
        <v>0.994798046331966</v>
      </c>
    </row>
    <row r="5" spans="1:9">
      <c r="A5" s="2" t="s">
        <v>12</v>
      </c>
      <c r="B5" s="1">
        <v>-0.994317560378368</v>
      </c>
      <c r="C5" s="4">
        <v>-0.995458637405918</v>
      </c>
      <c r="D5" s="1">
        <v>-0.987647148075913</v>
      </c>
      <c r="E5" s="1">
        <v>-0.994189592978865</v>
      </c>
      <c r="F5" s="1">
        <v>-0.992887976570069</v>
      </c>
      <c r="G5" s="4">
        <v>-0.995594033636482</v>
      </c>
      <c r="H5" s="1">
        <v>-0.987901827441595</v>
      </c>
      <c r="I5" s="1">
        <v>-0.994619459474561</v>
      </c>
    </row>
    <row r="6" spans="1:9">
      <c r="A6" s="2" t="s">
        <v>13</v>
      </c>
      <c r="B6" s="1">
        <v>0.993968044572125</v>
      </c>
      <c r="C6" s="4">
        <v>0.995230478413967</v>
      </c>
      <c r="D6" s="1">
        <v>0.987007607645975</v>
      </c>
      <c r="E6" s="1">
        <v>0.993828206663205</v>
      </c>
      <c r="F6" s="1">
        <v>0.992425214634829</v>
      </c>
      <c r="G6" s="4">
        <v>0.99542571039702</v>
      </c>
      <c r="H6" s="1">
        <v>0.987271531483083</v>
      </c>
      <c r="I6" s="1">
        <v>0.994251067121723</v>
      </c>
    </row>
    <row r="7" spans="1:9">
      <c r="A7" s="2" t="s">
        <v>14</v>
      </c>
      <c r="B7" s="1">
        <v>0.992740351880991</v>
      </c>
      <c r="C7" s="1">
        <v>0.992078037603254</v>
      </c>
      <c r="D7" s="1">
        <v>0.9909499151654</v>
      </c>
      <c r="E7" s="1">
        <v>0.992792585547539</v>
      </c>
      <c r="F7" s="4">
        <v>0.993497538733397</v>
      </c>
      <c r="G7" s="1">
        <v>0.991361012099237</v>
      </c>
      <c r="H7" s="1">
        <v>0.991069546654625</v>
      </c>
      <c r="I7" s="4">
        <v>0.993764873632658</v>
      </c>
    </row>
    <row r="8" spans="1:9">
      <c r="A8" s="2" t="s">
        <v>15</v>
      </c>
      <c r="B8" s="1">
        <v>0.965702123366393</v>
      </c>
      <c r="C8" s="1">
        <v>0.963922565795711</v>
      </c>
      <c r="D8" s="1">
        <v>0.965671383111761</v>
      </c>
      <c r="E8" s="1">
        <v>0.965638121032982</v>
      </c>
      <c r="F8" s="4">
        <v>0.96719586115696</v>
      </c>
      <c r="G8" s="1">
        <v>0.963101788288677</v>
      </c>
      <c r="H8" s="1">
        <v>0.96589095892123</v>
      </c>
      <c r="I8" s="4">
        <v>0.966927793697847</v>
      </c>
    </row>
    <row r="9" spans="1:9">
      <c r="A9" s="2" t="s">
        <v>16</v>
      </c>
      <c r="B9" s="1">
        <v>-0.995754135038094</v>
      </c>
      <c r="C9" s="4">
        <v>-0.996911999527107</v>
      </c>
      <c r="D9" s="1">
        <v>-0.98928048277407</v>
      </c>
      <c r="E9" s="1">
        <v>-0.995673856968572</v>
      </c>
      <c r="F9" s="1">
        <v>-0.994401765487657</v>
      </c>
      <c r="G9" s="4">
        <v>-0.996958317048507</v>
      </c>
      <c r="H9" s="1">
        <v>-0.989491972805173</v>
      </c>
      <c r="I9" s="1">
        <v>-0.996064452542467</v>
      </c>
    </row>
    <row r="10" spans="1:9">
      <c r="A10" s="2" t="s">
        <v>17</v>
      </c>
      <c r="B10" s="1">
        <v>0.993996541639324</v>
      </c>
      <c r="C10" s="4">
        <v>0.995205808967002</v>
      </c>
      <c r="D10" s="1">
        <v>0.987166133993918</v>
      </c>
      <c r="E10" s="1">
        <v>0.993860781737187</v>
      </c>
      <c r="F10" s="1">
        <v>0.992508611802473</v>
      </c>
      <c r="G10" s="4">
        <v>0.995377877205923</v>
      </c>
      <c r="H10" s="1">
        <v>0.987427274788039</v>
      </c>
      <c r="I10" s="1">
        <v>0.994294277655753</v>
      </c>
    </row>
    <row r="11" spans="1:9">
      <c r="A11" s="2" t="s">
        <v>21</v>
      </c>
      <c r="B11" s="1" cm="1">
        <f t="array" ref="B11">AVERAGE(ABS(B2:B10))</f>
        <v>0.987877669161758</v>
      </c>
      <c r="C11" s="1" cm="1">
        <f t="array" ref="C11">AVERAGE(ABS(C2:C10))</f>
        <v>0.987376866302035</v>
      </c>
      <c r="D11" s="1" cm="1">
        <f t="array" ref="D11">AVERAGE(ABS(D2:D10))</f>
        <v>0.985908004719785</v>
      </c>
      <c r="E11" s="1" cm="1">
        <f t="array" ref="E11">AVERAGE(ABS(E2:E10))</f>
        <v>0.98795210276902</v>
      </c>
      <c r="F11" s="4" cm="1">
        <f t="array" ref="F11">AVERAGE(ABS(F2:F10))</f>
        <v>0.988569954004807</v>
      </c>
      <c r="G11" s="1" cm="1">
        <f t="array" ref="G11">AVERAGE(ABS(G2:G10))</f>
        <v>0.986665384622005</v>
      </c>
      <c r="H11" s="1" cm="1">
        <f t="array" ref="H11">AVERAGE(ABS(H2:H10))</f>
        <v>0.986001220352631</v>
      </c>
      <c r="I11" s="4" cm="1">
        <f t="array" ref="I11">AVERAGE(ABS(I2:I10))</f>
        <v>0.988892317007256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A4" sqref="$A4:$XFD4"/>
    </sheetView>
  </sheetViews>
  <sheetFormatPr defaultColWidth="9.02654867256637" defaultRowHeight="13.85"/>
  <cols>
    <col min="1" max="1" width="8.84955752212389" style="1" customWidth="1"/>
    <col min="2" max="5" width="13.858407079646" style="1" customWidth="1"/>
    <col min="6" max="7" width="15.6371681415929" style="1" customWidth="1"/>
    <col min="8" max="8" width="14.9734513274336" style="1" customWidth="1"/>
    <col min="9" max="9" width="19.6902654867257" style="1" customWidth="1"/>
    <col min="10" max="10" width="14.9734513274336" style="1" customWidth="1"/>
    <col min="11" max="11" width="18.5929203539823" style="1" customWidth="1"/>
    <col min="12" max="12" width="19.5575221238938" style="1" customWidth="1"/>
    <col min="13" max="13" width="12.7964601769912" style="1" customWidth="1"/>
    <col min="14" max="16384" width="9.02654867256637" style="1"/>
  </cols>
  <sheetData>
    <row r="1" spans="1:9">
      <c r="A1" s="2" t="s">
        <v>0</v>
      </c>
      <c r="B1" s="2" t="s">
        <v>22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s="2" t="s">
        <v>9</v>
      </c>
      <c r="B3" s="1">
        <v>2.13564966806884e-8</v>
      </c>
      <c r="C3" s="1">
        <v>4.22567788839502e-8</v>
      </c>
      <c r="D3" s="1">
        <v>3.94349532787676e-9</v>
      </c>
      <c r="E3" s="1">
        <v>1.87783234424689e-8</v>
      </c>
      <c r="F3" s="1">
        <v>6.49704448891555e-9</v>
      </c>
      <c r="G3" s="1">
        <v>6.69964457914066e-8</v>
      </c>
      <c r="H3" s="1">
        <v>4.31651813097229e-9</v>
      </c>
      <c r="I3" s="1">
        <v>1.17596239652293e-8</v>
      </c>
    </row>
    <row r="4" spans="1:9">
      <c r="A4" s="2" t="s">
        <v>10</v>
      </c>
      <c r="B4" s="1">
        <v>2.28703678220124e-8</v>
      </c>
      <c r="C4" s="1">
        <v>4.78362077079213e-8</v>
      </c>
      <c r="D4" s="1">
        <v>3.43080006708658e-9</v>
      </c>
      <c r="E4" s="1">
        <v>2.01530892439802e-8</v>
      </c>
      <c r="F4" s="1">
        <v>6.40449207374311e-9</v>
      </c>
      <c r="G4" s="1">
        <v>7.61903438195299e-8</v>
      </c>
      <c r="H4" s="1">
        <v>3.75963549513039e-9</v>
      </c>
      <c r="I4" s="1">
        <v>1.22605488403846e-8</v>
      </c>
    </row>
    <row r="5" spans="1:9">
      <c r="A5" s="2" t="s">
        <v>19</v>
      </c>
      <c r="B5" s="1">
        <v>0.00016911391007725</v>
      </c>
      <c r="C5" s="1">
        <v>0.000180672759615161</v>
      </c>
      <c r="D5" s="1">
        <v>0.000176697268110293</v>
      </c>
      <c r="E5" s="1">
        <v>0.000171336942022928</v>
      </c>
      <c r="F5" s="1">
        <v>0.000162054459511204</v>
      </c>
      <c r="G5" s="1">
        <v>0.000182517262067148</v>
      </c>
      <c r="H5" s="1">
        <v>0.000173867598960699</v>
      </c>
      <c r="I5" s="1">
        <v>0.00016121827702773</v>
      </c>
    </row>
    <row r="6" spans="1:9">
      <c r="A6" s="2" t="s">
        <v>11</v>
      </c>
      <c r="B6" s="1">
        <v>8.09938152373875e-11</v>
      </c>
      <c r="C6" s="1">
        <v>1.46477548423244e-10</v>
      </c>
      <c r="D6" s="1">
        <v>1.50768389730311e-10</v>
      </c>
      <c r="E6" s="1">
        <v>7.06838159699392e-11</v>
      </c>
      <c r="F6" s="1">
        <v>2.89264226605294e-11</v>
      </c>
      <c r="G6" s="1">
        <v>2.78537639511466e-10</v>
      </c>
      <c r="H6" s="1">
        <v>1.49430369844821e-10</v>
      </c>
      <c r="I6" s="1">
        <v>2.97381485514524e-11</v>
      </c>
    </row>
    <row r="7" spans="1:9">
      <c r="A7" s="2" t="s">
        <v>12</v>
      </c>
      <c r="B7" s="1">
        <v>4.62175763488482e-11</v>
      </c>
      <c r="C7" s="1">
        <v>1.50970280053118e-11</v>
      </c>
      <c r="D7" s="1">
        <v>2.21883164868594e-9</v>
      </c>
      <c r="E7" s="1">
        <v>5.1650314312238e-11</v>
      </c>
      <c r="F7" s="1">
        <v>1.41599466536389e-10</v>
      </c>
      <c r="G7" s="1">
        <v>1.29796991142374e-11</v>
      </c>
      <c r="H7" s="1">
        <v>2.00019461054162e-9</v>
      </c>
      <c r="I7" s="1">
        <v>3.51950458367688e-11</v>
      </c>
    </row>
    <row r="8" spans="1:9">
      <c r="A8" s="2" t="s">
        <v>13</v>
      </c>
      <c r="B8" s="1">
        <v>6.22544044884105e-11</v>
      </c>
      <c r="C8" s="1">
        <v>1.9282761128671e-11</v>
      </c>
      <c r="D8" s="1">
        <v>2.85278243422203e-9</v>
      </c>
      <c r="E8" s="1">
        <v>6.97966995573852e-11</v>
      </c>
      <c r="F8" s="1">
        <v>1.9391503510763e-10</v>
      </c>
      <c r="G8" s="1">
        <v>1.56514643861212e-11</v>
      </c>
      <c r="H8" s="1">
        <v>2.57570281920645e-9</v>
      </c>
      <c r="I8" s="1">
        <v>4.898024734744e-11</v>
      </c>
    </row>
    <row r="9" spans="1:9">
      <c r="A9" s="2" t="s">
        <v>14</v>
      </c>
      <c r="B9" s="1">
        <v>1.56879584044905e-10</v>
      </c>
      <c r="C9" s="1">
        <v>2.42477625396349e-10</v>
      </c>
      <c r="D9" s="1">
        <v>4.70925089649952e-10</v>
      </c>
      <c r="E9" s="1">
        <v>1.51329629910686e-10</v>
      </c>
      <c r="F9" s="1">
        <v>9.0558027792567e-11</v>
      </c>
      <c r="G9" s="1">
        <v>3.73509346673713e-10</v>
      </c>
      <c r="H9" s="1">
        <v>4.40699945979827e-10</v>
      </c>
      <c r="I9" s="1">
        <v>7.34443444736156e-11</v>
      </c>
    </row>
    <row r="10" spans="1:9">
      <c r="A10" s="2" t="s">
        <v>15</v>
      </c>
      <c r="B10" s="1">
        <v>3.52856143047762e-7</v>
      </c>
      <c r="C10" s="1">
        <v>4.53037522684266e-7</v>
      </c>
      <c r="D10" s="1">
        <v>3.54421858034863e-7</v>
      </c>
      <c r="E10" s="1">
        <v>3.56122237109632e-7</v>
      </c>
      <c r="F10" s="1">
        <v>2.83139132688956e-7</v>
      </c>
      <c r="G10" s="1">
        <v>5.06267550535325e-7</v>
      </c>
      <c r="H10" s="1">
        <v>3.43358298883135e-7</v>
      </c>
      <c r="I10" s="1">
        <v>2.94765083235954e-7</v>
      </c>
    </row>
    <row r="11" spans="1:9">
      <c r="A11" s="2" t="s">
        <v>20</v>
      </c>
      <c r="B11" s="1">
        <v>0.324500952066714</v>
      </c>
      <c r="C11" s="1">
        <v>0.324281737367698</v>
      </c>
      <c r="D11" s="1">
        <v>0.338597389732266</v>
      </c>
      <c r="E11" s="1">
        <v>0.326684195586111</v>
      </c>
      <c r="F11" s="1">
        <v>0.329673188118677</v>
      </c>
      <c r="G11" s="1">
        <v>0.320380942074191</v>
      </c>
      <c r="H11" s="1">
        <v>0.336604406958637</v>
      </c>
      <c r="I11" s="1">
        <v>0.325432955039016</v>
      </c>
    </row>
    <row r="12" spans="1:9">
      <c r="A12" s="2" t="s">
        <v>16</v>
      </c>
      <c r="B12" s="1">
        <v>1.07896088953504e-11</v>
      </c>
      <c r="C12" s="1">
        <v>2.19988950807079e-12</v>
      </c>
      <c r="D12" s="1">
        <v>1.09484280757768e-9</v>
      </c>
      <c r="E12" s="1">
        <v>1.18473435705471e-11</v>
      </c>
      <c r="F12" s="1">
        <v>4.28992337817883e-11</v>
      </c>
      <c r="G12" s="1">
        <v>2.03993984278645e-12</v>
      </c>
      <c r="H12" s="1">
        <v>9.91368876215338e-10</v>
      </c>
      <c r="I12" s="1">
        <v>7.38627630855542e-12</v>
      </c>
    </row>
    <row r="13" spans="1:9">
      <c r="A13" s="2" t="s">
        <v>17</v>
      </c>
      <c r="B13" s="1">
        <v>6.08005702475208e-11</v>
      </c>
      <c r="C13" s="1">
        <v>1.978581369545e-11</v>
      </c>
      <c r="D13" s="1">
        <v>2.68364972869949e-9</v>
      </c>
      <c r="E13" s="1">
        <v>6.7977785668824e-11</v>
      </c>
      <c r="F13" s="1">
        <v>1.83498228868402e-10</v>
      </c>
      <c r="G13" s="1">
        <v>1.64857763972214e-11</v>
      </c>
      <c r="H13" s="1">
        <v>2.42256470171432e-9</v>
      </c>
      <c r="I13" s="1">
        <v>4.71703716839856e-11</v>
      </c>
    </row>
    <row r="15" spans="1:9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</row>
    <row r="16" spans="1:9">
      <c r="A16" s="2" t="s">
        <v>9</v>
      </c>
      <c r="B16" s="2" t="str">
        <f>IF(B3&lt;0.001,"***",IF(AND(B3&gt;=0.001,B3&lt;0.01),"**",IF(B3&gt;=0.05,"*")))</f>
        <v>***</v>
      </c>
      <c r="C16" s="2" t="str">
        <f>IF(C3&lt;0.001,"***",IF(AND(C3&gt;=0.001,C3&lt;0.01),"**",IF(C3&gt;=0.05,"*")))</f>
        <v>***</v>
      </c>
      <c r="D16" s="2" t="str">
        <f>IF(D3&lt;0.001,"***",IF(AND(D3&gt;=0.001,D3&lt;0.01),"**",IF(D3&gt;=0.05,"*")))</f>
        <v>***</v>
      </c>
      <c r="E16" s="2" t="str">
        <f>IF(E3&lt;0.001,"***",IF(AND(E3&gt;=0.001,E3&lt;0.01),"**",IF(E3&gt;=0.05,"*")))</f>
        <v>***</v>
      </c>
      <c r="F16" s="2" t="str">
        <f>IF(F3&lt;0.001,"***",IF(AND(F3&gt;=0.001,F3&lt;0.01),"**",IF(F3&gt;=0.05,"*")))</f>
        <v>***</v>
      </c>
      <c r="G16" s="2" t="str">
        <f>IF(G3&lt;0.001,"***",IF(AND(G3&gt;=0.001,G3&lt;0.01),"**",IF(G3&gt;=0.05,"*")))</f>
        <v>***</v>
      </c>
      <c r="H16" s="2" t="str">
        <f>IF(H3&lt;0.001,"***",IF(AND(H3&gt;=0.001,H3&lt;0.01),"**",IF(H3&gt;=0.05,"*")))</f>
        <v>***</v>
      </c>
      <c r="I16" s="2" t="str">
        <f>IF(I3&lt;0.001,"***",IF(AND(I3&gt;=0.001,I3&lt;0.01),"**",IF(I3&gt;=0.05,"*")))</f>
        <v>***</v>
      </c>
    </row>
    <row r="17" spans="1:9">
      <c r="A17" s="2" t="s">
        <v>10</v>
      </c>
      <c r="B17" s="2" t="str">
        <f>IF(B4&lt;0.001,"***",IF(AND(B4&gt;=0.001,B4&lt;0.01),"**",IF(B4&gt;=0.05,"*")))</f>
        <v>***</v>
      </c>
      <c r="C17" s="2" t="str">
        <f>IF(C4&lt;0.001,"***",IF(AND(C4&gt;=0.001,C4&lt;0.01),"**",IF(C4&gt;=0.05,"*")))</f>
        <v>***</v>
      </c>
      <c r="D17" s="2" t="str">
        <f>IF(D4&lt;0.001,"***",IF(AND(D4&gt;=0.001,D4&lt;0.01),"**",IF(D4&gt;=0.05,"*")))</f>
        <v>***</v>
      </c>
      <c r="E17" s="2" t="str">
        <f>IF(E4&lt;0.001,"***",IF(AND(E4&gt;=0.001,E4&lt;0.01),"**",IF(E4&gt;=0.05,"*")))</f>
        <v>***</v>
      </c>
      <c r="F17" s="2" t="str">
        <f>IF(F4&lt;0.001,"***",IF(AND(F4&gt;=0.001,F4&lt;0.01),"**",IF(F4&gt;=0.05,"*")))</f>
        <v>***</v>
      </c>
      <c r="G17" s="2" t="str">
        <f>IF(G4&lt;0.001,"***",IF(AND(G4&gt;=0.001,G4&lt;0.01),"**",IF(G4&gt;=0.05,"*")))</f>
        <v>***</v>
      </c>
      <c r="H17" s="2" t="str">
        <f>IF(H4&lt;0.001,"***",IF(AND(H4&gt;=0.001,H4&lt;0.01),"**",IF(H4&gt;=0.05,"*")))</f>
        <v>***</v>
      </c>
      <c r="I17" s="2" t="str">
        <f>IF(I4&lt;0.001,"***",IF(AND(I4&gt;=0.001,I4&lt;0.01),"**",IF(I4&gt;=0.05,"*")))</f>
        <v>***</v>
      </c>
    </row>
    <row r="18" spans="1:9">
      <c r="A18" s="2" t="s">
        <v>19</v>
      </c>
      <c r="B18" s="2" t="str">
        <f>IF(B5&lt;0.001,"***",IF(AND(B5&gt;=0.001,B5&lt;0.01),"**",IF(B5&gt;=0.05,"*")))</f>
        <v>***</v>
      </c>
      <c r="C18" s="2" t="str">
        <f>IF(C5&lt;0.001,"***",IF(AND(C5&gt;=0.001,C5&lt;0.01),"**",IF(C5&gt;=0.05,"*")))</f>
        <v>***</v>
      </c>
      <c r="D18" s="2" t="str">
        <f>IF(D5&lt;0.001,"***",IF(AND(D5&gt;=0.001,D5&lt;0.01),"**",IF(D5&gt;=0.05,"*")))</f>
        <v>***</v>
      </c>
      <c r="E18" s="2" t="str">
        <f>IF(E5&lt;0.001,"***",IF(AND(E5&gt;=0.001,E5&lt;0.01),"**",IF(E5&gt;=0.05,"*")))</f>
        <v>***</v>
      </c>
      <c r="F18" s="2" t="str">
        <f>IF(F5&lt;0.001,"***",IF(AND(F5&gt;=0.001,F5&lt;0.01),"**",IF(F5&gt;=0.05,"*")))</f>
        <v>***</v>
      </c>
      <c r="G18" s="2" t="str">
        <f>IF(G5&lt;0.001,"***",IF(AND(G5&gt;=0.001,G5&lt;0.01),"**",IF(G5&gt;=0.05,"*")))</f>
        <v>***</v>
      </c>
      <c r="H18" s="2" t="str">
        <f>IF(H5&lt;0.001,"***",IF(AND(H5&gt;=0.001,H5&lt;0.01),"**",IF(H5&gt;=0.05,"*")))</f>
        <v>***</v>
      </c>
      <c r="I18" s="2" t="str">
        <f>IF(I5&lt;0.001,"***",IF(AND(I5&gt;=0.001,I5&lt;0.01),"**",IF(I5&gt;=0.05,"*")))</f>
        <v>***</v>
      </c>
    </row>
    <row r="19" spans="1:9">
      <c r="A19" s="2" t="s">
        <v>11</v>
      </c>
      <c r="B19" s="2" t="str">
        <f>IF(B6&lt;0.001,"***",IF(AND(B6&gt;=0.001,B6&lt;0.01),"**",IF(B6&gt;=0.05,"*")))</f>
        <v>***</v>
      </c>
      <c r="C19" s="2" t="str">
        <f>IF(C6&lt;0.001,"***",IF(AND(C6&gt;=0.001,C6&lt;0.01),"**",IF(C6&gt;=0.05,"*")))</f>
        <v>***</v>
      </c>
      <c r="D19" s="2" t="str">
        <f>IF(D6&lt;0.001,"***",IF(AND(D6&gt;=0.001,D6&lt;0.01),"**",IF(D6&gt;=0.05,"*")))</f>
        <v>***</v>
      </c>
      <c r="E19" s="2" t="str">
        <f>IF(E6&lt;0.001,"***",IF(AND(E6&gt;=0.001,E6&lt;0.01),"**",IF(E6&gt;=0.05,"*")))</f>
        <v>***</v>
      </c>
      <c r="F19" s="2" t="str">
        <f>IF(F6&lt;0.001,"***",IF(AND(F6&gt;=0.001,F6&lt;0.01),"**",IF(F6&gt;=0.05,"*")))</f>
        <v>***</v>
      </c>
      <c r="G19" s="2" t="str">
        <f>IF(G6&lt;0.001,"***",IF(AND(G6&gt;=0.001,G6&lt;0.01),"**",IF(G6&gt;=0.05,"*")))</f>
        <v>***</v>
      </c>
      <c r="H19" s="2" t="str">
        <f>IF(H6&lt;0.001,"***",IF(AND(H6&gt;=0.001,H6&lt;0.01),"**",IF(H6&gt;=0.05,"*")))</f>
        <v>***</v>
      </c>
      <c r="I19" s="2" t="str">
        <f>IF(I6&lt;0.001,"***",IF(AND(I6&gt;=0.001,I6&lt;0.01),"**",IF(I6&gt;=0.05,"*")))</f>
        <v>***</v>
      </c>
    </row>
    <row r="20" spans="1:9">
      <c r="A20" s="2" t="s">
        <v>12</v>
      </c>
      <c r="B20" s="2" t="str">
        <f>IF(B7&lt;0.001,"***",IF(AND(B7&gt;=0.001,B7&lt;0.01),"**",IF(B7&gt;=0.05,"*")))</f>
        <v>***</v>
      </c>
      <c r="C20" s="2" t="str">
        <f>IF(C7&lt;0.001,"***",IF(AND(C7&gt;=0.001,C7&lt;0.01),"**",IF(C7&gt;=0.05,"*")))</f>
        <v>***</v>
      </c>
      <c r="D20" s="2" t="str">
        <f>IF(D7&lt;0.001,"***",IF(AND(D7&gt;=0.001,D7&lt;0.01),"**",IF(D7&gt;=0.05,"*")))</f>
        <v>***</v>
      </c>
      <c r="E20" s="2" t="str">
        <f>IF(E7&lt;0.001,"***",IF(AND(E7&gt;=0.001,E7&lt;0.01),"**",IF(E7&gt;=0.05,"*")))</f>
        <v>***</v>
      </c>
      <c r="F20" s="2" t="str">
        <f>IF(F7&lt;0.001,"***",IF(AND(F7&gt;=0.001,F7&lt;0.01),"**",IF(F7&gt;=0.05,"*")))</f>
        <v>***</v>
      </c>
      <c r="G20" s="2" t="str">
        <f>IF(G7&lt;0.001,"***",IF(AND(G7&gt;=0.001,G7&lt;0.01),"**",IF(G7&gt;=0.05,"*")))</f>
        <v>***</v>
      </c>
      <c r="H20" s="2" t="str">
        <f>IF(H7&lt;0.001,"***",IF(AND(H7&gt;=0.001,H7&lt;0.01),"**",IF(H7&gt;=0.05,"*")))</f>
        <v>***</v>
      </c>
      <c r="I20" s="2" t="str">
        <f>IF(I7&lt;0.001,"***",IF(AND(I7&gt;=0.001,I7&lt;0.01),"**",IF(I7&gt;=0.05,"*")))</f>
        <v>***</v>
      </c>
    </row>
    <row r="21" spans="1:9">
      <c r="A21" s="2" t="s">
        <v>13</v>
      </c>
      <c r="B21" s="2" t="str">
        <f>IF(B8&lt;0.001,"***",IF(AND(B8&gt;=0.001,B8&lt;0.01),"**",IF(B8&gt;=0.05,"*")))</f>
        <v>***</v>
      </c>
      <c r="C21" s="2" t="str">
        <f>IF(C8&lt;0.001,"***",IF(AND(C8&gt;=0.001,C8&lt;0.01),"**",IF(C8&gt;=0.05,"*")))</f>
        <v>***</v>
      </c>
      <c r="D21" s="2" t="str">
        <f>IF(D8&lt;0.001,"***",IF(AND(D8&gt;=0.001,D8&lt;0.01),"**",IF(D8&gt;=0.05,"*")))</f>
        <v>***</v>
      </c>
      <c r="E21" s="2" t="str">
        <f>IF(E8&lt;0.001,"***",IF(AND(E8&gt;=0.001,E8&lt;0.01),"**",IF(E8&gt;=0.05,"*")))</f>
        <v>***</v>
      </c>
      <c r="F21" s="2" t="str">
        <f>IF(F8&lt;0.001,"***",IF(AND(F8&gt;=0.001,F8&lt;0.01),"**",IF(F8&gt;=0.05,"*")))</f>
        <v>***</v>
      </c>
      <c r="G21" s="2" t="str">
        <f>IF(G8&lt;0.001,"***",IF(AND(G8&gt;=0.001,G8&lt;0.01),"**",IF(G8&gt;=0.05,"*")))</f>
        <v>***</v>
      </c>
      <c r="H21" s="2" t="str">
        <f>IF(H8&lt;0.001,"***",IF(AND(H8&gt;=0.001,H8&lt;0.01),"**",IF(H8&gt;=0.05,"*")))</f>
        <v>***</v>
      </c>
      <c r="I21" s="2" t="str">
        <f>IF(I8&lt;0.001,"***",IF(AND(I8&gt;=0.001,I8&lt;0.01),"**",IF(I8&gt;=0.05,"*")))</f>
        <v>***</v>
      </c>
    </row>
    <row r="22" spans="1:9">
      <c r="A22" s="2" t="s">
        <v>14</v>
      </c>
      <c r="B22" s="2" t="str">
        <f>IF(B9&lt;0.001,"***",IF(AND(B9&gt;=0.001,B9&lt;0.01),"**",IF(B9&gt;=0.05,"*")))</f>
        <v>***</v>
      </c>
      <c r="C22" s="2" t="str">
        <f>IF(C9&lt;0.001,"***",IF(AND(C9&gt;=0.001,C9&lt;0.01),"**",IF(C9&gt;=0.05,"*")))</f>
        <v>***</v>
      </c>
      <c r="D22" s="2" t="str">
        <f>IF(D9&lt;0.001,"***",IF(AND(D9&gt;=0.001,D9&lt;0.01),"**",IF(D9&gt;=0.05,"*")))</f>
        <v>***</v>
      </c>
      <c r="E22" s="2" t="str">
        <f>IF(E9&lt;0.001,"***",IF(AND(E9&gt;=0.001,E9&lt;0.01),"**",IF(E9&gt;=0.05,"*")))</f>
        <v>***</v>
      </c>
      <c r="F22" s="2" t="str">
        <f>IF(F9&lt;0.001,"***",IF(AND(F9&gt;=0.001,F9&lt;0.01),"**",IF(F9&gt;=0.05,"*")))</f>
        <v>***</v>
      </c>
      <c r="G22" s="2" t="str">
        <f>IF(G9&lt;0.001,"***",IF(AND(G9&gt;=0.001,G9&lt;0.01),"**",IF(G9&gt;=0.05,"*")))</f>
        <v>***</v>
      </c>
      <c r="H22" s="2" t="str">
        <f>IF(H9&lt;0.001,"***",IF(AND(H9&gt;=0.001,H9&lt;0.01),"**",IF(H9&gt;=0.05,"*")))</f>
        <v>***</v>
      </c>
      <c r="I22" s="2" t="str">
        <f>IF(I9&lt;0.001,"***",IF(AND(I9&gt;=0.001,I9&lt;0.01),"**",IF(I9&gt;=0.05,"*")))</f>
        <v>***</v>
      </c>
    </row>
    <row r="23" spans="1:9">
      <c r="A23" s="2" t="s">
        <v>15</v>
      </c>
      <c r="B23" s="2" t="str">
        <f>IF(B10&lt;0.001,"***",IF(AND(B10&gt;=0.001,B10&lt;0.01),"**",IF(B10&gt;=0.05,"*")))</f>
        <v>***</v>
      </c>
      <c r="C23" s="2" t="str">
        <f>IF(C10&lt;0.001,"***",IF(AND(C10&gt;=0.001,C10&lt;0.01),"**",IF(C10&gt;=0.05,"*")))</f>
        <v>***</v>
      </c>
      <c r="D23" s="2" t="str">
        <f>IF(D10&lt;0.001,"***",IF(AND(D10&gt;=0.001,D10&lt;0.01),"**",IF(D10&gt;=0.05,"*")))</f>
        <v>***</v>
      </c>
      <c r="E23" s="2" t="str">
        <f>IF(E10&lt;0.001,"***",IF(AND(E10&gt;=0.001,E10&lt;0.01),"**",IF(E10&gt;=0.05,"*")))</f>
        <v>***</v>
      </c>
      <c r="F23" s="2" t="str">
        <f>IF(F10&lt;0.001,"***",IF(AND(F10&gt;=0.001,F10&lt;0.01),"**",IF(F10&gt;=0.05,"*")))</f>
        <v>***</v>
      </c>
      <c r="G23" s="2" t="str">
        <f>IF(G10&lt;0.001,"***",IF(AND(G10&gt;=0.001,G10&lt;0.01),"**",IF(G10&gt;=0.05,"*")))</f>
        <v>***</v>
      </c>
      <c r="H23" s="2" t="str">
        <f>IF(H10&lt;0.001,"***",IF(AND(H10&gt;=0.001,H10&lt;0.01),"**",IF(H10&gt;=0.05,"*")))</f>
        <v>***</v>
      </c>
      <c r="I23" s="2" t="str">
        <f>IF(I10&lt;0.001,"***",IF(AND(I10&gt;=0.001,I10&lt;0.01),"**",IF(I10&gt;=0.05,"*")))</f>
        <v>***</v>
      </c>
    </row>
    <row r="24" spans="1:9">
      <c r="A24" s="2" t="s">
        <v>20</v>
      </c>
      <c r="B24" s="2" t="str">
        <f>IF(B11&lt;0.001,"***",IF(AND(B11&gt;=0.001,B11&lt;0.01),"**",IF(B11&gt;=0.05,"*")))</f>
        <v>*</v>
      </c>
      <c r="C24" s="2" t="str">
        <f>IF(C11&lt;0.001,"***",IF(AND(C11&gt;=0.001,C11&lt;0.01),"**",IF(C11&gt;=0.05,"*")))</f>
        <v>*</v>
      </c>
      <c r="D24" s="2" t="str">
        <f>IF(D11&lt;0.001,"***",IF(AND(D11&gt;=0.001,D11&lt;0.01),"**",IF(D11&gt;=0.05,"*")))</f>
        <v>*</v>
      </c>
      <c r="E24" s="2" t="str">
        <f>IF(E11&lt;0.001,"***",IF(AND(E11&gt;=0.001,E11&lt;0.01),"**",IF(E11&gt;=0.05,"*")))</f>
        <v>*</v>
      </c>
      <c r="F24" s="2" t="str">
        <f>IF(F11&lt;0.001,"***",IF(AND(F11&gt;=0.001,F11&lt;0.01),"**",IF(F11&gt;=0.05,"*")))</f>
        <v>*</v>
      </c>
      <c r="G24" s="2" t="str">
        <f>IF(G11&lt;0.001,"***",IF(AND(G11&gt;=0.001,G11&lt;0.01),"**",IF(G11&gt;=0.05,"*")))</f>
        <v>*</v>
      </c>
      <c r="H24" s="2" t="str">
        <f>IF(H11&lt;0.001,"***",IF(AND(H11&gt;=0.001,H11&lt;0.01),"**",IF(H11&gt;=0.05,"*")))</f>
        <v>*</v>
      </c>
      <c r="I24" s="2" t="str">
        <f>IF(I11&lt;0.001,"***",IF(AND(I11&gt;=0.001,I11&lt;0.01),"**",IF(I11&gt;=0.05,"*")))</f>
        <v>*</v>
      </c>
    </row>
    <row r="25" spans="1:9">
      <c r="A25" s="2" t="s">
        <v>16</v>
      </c>
      <c r="B25" s="2" t="str">
        <f>IF(B12&lt;0.001,"***",IF(AND(B12&gt;=0.001,B12&lt;0.01),"**",IF(B12&gt;=0.05,"*")))</f>
        <v>***</v>
      </c>
      <c r="C25" s="2" t="str">
        <f>IF(C12&lt;0.001,"***",IF(AND(C12&gt;=0.001,C12&lt;0.01),"**",IF(C12&gt;=0.05,"*")))</f>
        <v>***</v>
      </c>
      <c r="D25" s="2" t="str">
        <f>IF(D12&lt;0.001,"***",IF(AND(D12&gt;=0.001,D12&lt;0.01),"**",IF(D12&gt;=0.05,"*")))</f>
        <v>***</v>
      </c>
      <c r="E25" s="2" t="str">
        <f>IF(E12&lt;0.001,"***",IF(AND(E12&gt;=0.001,E12&lt;0.01),"**",IF(E12&gt;=0.05,"*")))</f>
        <v>***</v>
      </c>
      <c r="F25" s="2" t="str">
        <f>IF(F12&lt;0.001,"***",IF(AND(F12&gt;=0.001,F12&lt;0.01),"**",IF(F12&gt;=0.05,"*")))</f>
        <v>***</v>
      </c>
      <c r="G25" s="2" t="str">
        <f>IF(G12&lt;0.001,"***",IF(AND(G12&gt;=0.001,G12&lt;0.01),"**",IF(G12&gt;=0.05,"*")))</f>
        <v>***</v>
      </c>
      <c r="H25" s="2" t="str">
        <f>IF(H12&lt;0.001,"***",IF(AND(H12&gt;=0.001,H12&lt;0.01),"**",IF(H12&gt;=0.05,"*")))</f>
        <v>***</v>
      </c>
      <c r="I25" s="2" t="str">
        <f>IF(I12&lt;0.001,"***",IF(AND(I12&gt;=0.001,I12&lt;0.01),"**",IF(I12&gt;=0.05,"*")))</f>
        <v>***</v>
      </c>
    </row>
    <row r="26" spans="1:9">
      <c r="A26" s="2" t="s">
        <v>17</v>
      </c>
      <c r="B26" s="2" t="str">
        <f>IF(B13&lt;0.001,"***",IF(AND(B13&gt;=0.001,B13&lt;0.01),"**",IF(B13&gt;=0.05,"*")))</f>
        <v>***</v>
      </c>
      <c r="C26" s="2" t="str">
        <f>IF(C13&lt;0.001,"***",IF(AND(C13&gt;=0.001,C13&lt;0.01),"**",IF(C13&gt;=0.05,"*")))</f>
        <v>***</v>
      </c>
      <c r="D26" s="2" t="str">
        <f>IF(D13&lt;0.001,"***",IF(AND(D13&gt;=0.001,D13&lt;0.01),"**",IF(D13&gt;=0.05,"*")))</f>
        <v>***</v>
      </c>
      <c r="E26" s="2" t="str">
        <f>IF(E13&lt;0.001,"***",IF(AND(E13&gt;=0.001,E13&lt;0.01),"**",IF(E13&gt;=0.05,"*")))</f>
        <v>***</v>
      </c>
      <c r="F26" s="2" t="str">
        <f>IF(F13&lt;0.001,"***",IF(AND(F13&gt;=0.001,F13&lt;0.01),"**",IF(F13&gt;=0.05,"*")))</f>
        <v>***</v>
      </c>
      <c r="G26" s="2" t="str">
        <f>IF(G13&lt;0.001,"***",IF(AND(G13&gt;=0.001,G13&lt;0.01),"**",IF(G13&gt;=0.05,"*")))</f>
        <v>***</v>
      </c>
      <c r="H26" s="2" t="str">
        <f>IF(H13&lt;0.001,"***",IF(AND(H13&gt;=0.001,H13&lt;0.01),"**",IF(H13&gt;=0.05,"*")))</f>
        <v>***</v>
      </c>
      <c r="I26" s="2" t="str">
        <f>IF(I13&lt;0.001,"***",IF(AND(I13&gt;=0.001,I13&lt;0.01),"**",IF(I13&gt;=0.05,"*")))</f>
        <v>***</v>
      </c>
    </row>
    <row r="29" spans="1:9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3" t="s">
        <v>8</v>
      </c>
    </row>
    <row r="30" spans="1:9">
      <c r="A30" s="2" t="s">
        <v>9</v>
      </c>
      <c r="B30" s="1">
        <v>-0.909090909090909</v>
      </c>
      <c r="C30" s="1">
        <v>-0.916083916083916</v>
      </c>
      <c r="D30" s="4">
        <v>-0.944055944055944</v>
      </c>
      <c r="E30" s="1">
        <v>-0.909090909090909</v>
      </c>
      <c r="F30" s="4">
        <v>-0.944055944055944</v>
      </c>
      <c r="G30" s="1">
        <v>-0.916083916083916</v>
      </c>
      <c r="H30" s="4">
        <v>-0.944055944055944</v>
      </c>
      <c r="I30" s="4">
        <v>-0.944055944055944</v>
      </c>
    </row>
    <row r="31" spans="1:9">
      <c r="A31" s="2" t="s">
        <v>10</v>
      </c>
      <c r="B31" s="1">
        <v>-0.874125874125874</v>
      </c>
      <c r="C31" s="1">
        <v>-0.881118881118881</v>
      </c>
      <c r="D31" s="4">
        <v>-0.923076923076923</v>
      </c>
      <c r="E31" s="1">
        <v>-0.874125874125874</v>
      </c>
      <c r="F31" s="4">
        <v>-0.923076923076923</v>
      </c>
      <c r="G31" s="1">
        <v>-0.881118881118881</v>
      </c>
      <c r="H31" s="4">
        <v>-0.923076923076923</v>
      </c>
      <c r="I31" s="4">
        <v>-0.923076923076923</v>
      </c>
    </row>
    <row r="32" spans="1:9">
      <c r="A32" s="2" t="s">
        <v>11</v>
      </c>
      <c r="B32" s="1">
        <v>0.867132867132867</v>
      </c>
      <c r="C32" s="1">
        <v>0.881118881118881</v>
      </c>
      <c r="D32" s="4">
        <v>0.944055944055944</v>
      </c>
      <c r="E32" s="1">
        <v>0.867132867132867</v>
      </c>
      <c r="F32" s="4">
        <v>0.944055944055944</v>
      </c>
      <c r="G32" s="1">
        <v>0.881118881118881</v>
      </c>
      <c r="H32" s="4">
        <v>0.944055944055944</v>
      </c>
      <c r="I32" s="4">
        <v>0.944055944055944</v>
      </c>
    </row>
    <row r="33" spans="1:9">
      <c r="A33" s="2" t="s">
        <v>12</v>
      </c>
      <c r="B33" s="1">
        <v>-0.741258741258741</v>
      </c>
      <c r="C33" s="1">
        <v>-0.748251748251748</v>
      </c>
      <c r="D33" s="1">
        <v>-0.846153846153846</v>
      </c>
      <c r="E33" s="1">
        <v>-0.741258741258741</v>
      </c>
      <c r="F33" s="1">
        <v>-0.846153846153846</v>
      </c>
      <c r="G33" s="1">
        <v>-0.748251748251748</v>
      </c>
      <c r="H33" s="1">
        <v>-0.846153846153846</v>
      </c>
      <c r="I33" s="1">
        <v>-0.846153846153846</v>
      </c>
    </row>
    <row r="34" spans="1:9">
      <c r="A34" s="2" t="s">
        <v>13</v>
      </c>
      <c r="B34" s="1">
        <v>0.699300699300699</v>
      </c>
      <c r="C34" s="1">
        <v>0.706293706293706</v>
      </c>
      <c r="D34" s="1">
        <v>0.811188811188811</v>
      </c>
      <c r="E34" s="1">
        <v>0.699300699300699</v>
      </c>
      <c r="F34" s="1">
        <v>0.811188811188811</v>
      </c>
      <c r="G34" s="1">
        <v>0.706293706293706</v>
      </c>
      <c r="H34" s="1">
        <v>0.811188811188811</v>
      </c>
      <c r="I34" s="1">
        <v>0.811188811188811</v>
      </c>
    </row>
    <row r="35" spans="1:9">
      <c r="A35" s="2" t="s">
        <v>14</v>
      </c>
      <c r="B35" s="1">
        <v>0.699300699300699</v>
      </c>
      <c r="C35" s="1">
        <v>0.706293706293706</v>
      </c>
      <c r="D35" s="1">
        <v>0.811188811188811</v>
      </c>
      <c r="E35" s="1">
        <v>0.699300699300699</v>
      </c>
      <c r="F35" s="1">
        <v>0.811188811188811</v>
      </c>
      <c r="G35" s="1">
        <v>0.706293706293706</v>
      </c>
      <c r="H35" s="1">
        <v>0.811188811188811</v>
      </c>
      <c r="I35" s="1">
        <v>0.811188811188811</v>
      </c>
    </row>
    <row r="36" spans="1:9">
      <c r="A36" s="2" t="s">
        <v>15</v>
      </c>
      <c r="B36" s="1">
        <v>0.685314685314685</v>
      </c>
      <c r="C36" s="1">
        <v>0.692307692307692</v>
      </c>
      <c r="D36" s="1">
        <v>0.797202797202797</v>
      </c>
      <c r="E36" s="1">
        <v>0.685314685314685</v>
      </c>
      <c r="F36" s="1">
        <v>0.797202797202797</v>
      </c>
      <c r="G36" s="1">
        <v>0.692307692307692</v>
      </c>
      <c r="H36" s="1">
        <v>0.797202797202797</v>
      </c>
      <c r="I36" s="1">
        <v>0.797202797202797</v>
      </c>
    </row>
    <row r="37" spans="1:9">
      <c r="A37" s="2" t="s">
        <v>16</v>
      </c>
      <c r="B37" s="1">
        <v>-0.867132867132867</v>
      </c>
      <c r="C37" s="1">
        <v>-0.874125874125874</v>
      </c>
      <c r="D37" s="1">
        <v>-0.944055944055944</v>
      </c>
      <c r="E37" s="1">
        <v>-0.867132867132867</v>
      </c>
      <c r="F37" s="1">
        <v>-0.944055944055944</v>
      </c>
      <c r="G37" s="1">
        <v>-0.874125874125874</v>
      </c>
      <c r="H37" s="1">
        <v>-0.944055944055944</v>
      </c>
      <c r="I37" s="1">
        <v>-0.944055944055944</v>
      </c>
    </row>
    <row r="38" spans="1:9">
      <c r="A38" s="2" t="s">
        <v>17</v>
      </c>
      <c r="B38" s="1">
        <v>0.699300699300699</v>
      </c>
      <c r="C38" s="1">
        <v>0.706293706293706</v>
      </c>
      <c r="D38" s="1">
        <v>0.811188811188811</v>
      </c>
      <c r="E38" s="1">
        <v>0.699300699300699</v>
      </c>
      <c r="F38" s="1">
        <v>0.811188811188811</v>
      </c>
      <c r="G38" s="1">
        <v>0.706293706293706</v>
      </c>
      <c r="H38" s="1">
        <v>0.811188811188811</v>
      </c>
      <c r="I38" s="1">
        <v>0.811188811188811</v>
      </c>
    </row>
  </sheetData>
  <mergeCells count="1">
    <mergeCell ref="B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zoomScale="85" zoomScaleNormal="85" workbookViewId="0">
      <selection activeCell="S2" sqref="Q1:S2"/>
    </sheetView>
  </sheetViews>
  <sheetFormatPr defaultColWidth="9.02654867256637" defaultRowHeight="13.85"/>
  <cols>
    <col min="1" max="1" width="19.3274336283186" style="1" customWidth="1"/>
    <col min="2" max="16" width="12.7964601769912" style="1" customWidth="1"/>
    <col min="17" max="17" width="14.8053097345133" style="1" customWidth="1"/>
    <col min="18" max="19" width="13.6106194690265" style="1" customWidth="1"/>
    <col min="20" max="20" width="18.3185840707965" style="1" customWidth="1"/>
    <col min="21" max="16384" width="9.02654867256637" style="1"/>
  </cols>
  <sheetData>
    <row r="1" spans="1:20">
      <c r="A1" s="2" t="s">
        <v>23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20</v>
      </c>
      <c r="G1" s="2" t="s">
        <v>16</v>
      </c>
      <c r="H1" s="2" t="s">
        <v>17</v>
      </c>
      <c r="I1" s="2" t="s">
        <v>19</v>
      </c>
      <c r="J1" s="2" t="s">
        <v>10</v>
      </c>
      <c r="K1" s="2" t="s">
        <v>9</v>
      </c>
      <c r="L1" s="2" t="s">
        <v>11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>
      <c r="A2" s="2" t="s">
        <v>24</v>
      </c>
      <c r="B2" s="1">
        <v>0.965251906347327</v>
      </c>
      <c r="C2" s="1">
        <v>0.000393633201779387</v>
      </c>
      <c r="D2" s="1">
        <v>0.019816047204242</v>
      </c>
      <c r="E2" s="1">
        <v>0.0105025639662464</v>
      </c>
      <c r="F2" s="1">
        <v>278.912366505508</v>
      </c>
      <c r="G2" s="1">
        <v>0.987427028372254</v>
      </c>
      <c r="H2" s="1">
        <v>0.000196364264934731</v>
      </c>
      <c r="I2" s="1">
        <v>0.850161951999188</v>
      </c>
      <c r="J2" s="1">
        <v>34.561492759828</v>
      </c>
      <c r="K2" s="1">
        <v>18.1470465247047</v>
      </c>
      <c r="L2" s="1">
        <v>0.140691437319807</v>
      </c>
      <c r="M2" s="1">
        <v>4.39585002325178</v>
      </c>
      <c r="N2" s="1">
        <v>5.63307774500998</v>
      </c>
      <c r="O2" s="1">
        <v>8.0023542258567</v>
      </c>
      <c r="P2" s="1">
        <v>4.93655866970286</v>
      </c>
      <c r="Q2" s="1">
        <v>8.95086371921645</v>
      </c>
      <c r="R2" s="1">
        <v>6.21183389915713</v>
      </c>
      <c r="S2" s="1">
        <v>8.47390219792913</v>
      </c>
      <c r="T2" s="1">
        <v>9.41458485051918</v>
      </c>
    </row>
    <row r="3" spans="1:20">
      <c r="A3" s="2" t="s">
        <v>25</v>
      </c>
      <c r="B3" s="1">
        <v>0.964493027471248</v>
      </c>
      <c r="C3" s="1">
        <v>0.000400987214476706</v>
      </c>
      <c r="D3" s="1">
        <v>0.0200010635478486</v>
      </c>
      <c r="E3" s="1">
        <v>0.010657015080589</v>
      </c>
      <c r="F3" s="1">
        <v>307.197582388387</v>
      </c>
      <c r="G3" s="1">
        <v>0.987178789200811</v>
      </c>
      <c r="H3" s="1">
        <v>0.000200028385514737</v>
      </c>
      <c r="I3" s="1">
        <v>0.849410180918621</v>
      </c>
      <c r="J3" s="1">
        <v>34.4940060840878</v>
      </c>
      <c r="K3" s="1">
        <v>18.100661103189</v>
      </c>
      <c r="L3" s="1">
        <v>0.141963536005444</v>
      </c>
      <c r="M3" s="1">
        <v>4.39433550062174</v>
      </c>
      <c r="N3" s="1">
        <v>5.63325274133733</v>
      </c>
      <c r="O3" s="1">
        <v>8.00755286169223</v>
      </c>
      <c r="P3" s="1">
        <v>4.93528511664316</v>
      </c>
      <c r="Q3" s="1">
        <v>8.95874095003522</v>
      </c>
      <c r="R3" s="1">
        <v>6.21322758326405</v>
      </c>
      <c r="S3" s="1">
        <v>8.47877406016354</v>
      </c>
      <c r="T3" s="1">
        <v>9.42270121951614</v>
      </c>
    </row>
    <row r="4" spans="1:20">
      <c r="A4" s="2" t="s">
        <v>26</v>
      </c>
      <c r="B4" s="1">
        <v>0.965484262821777</v>
      </c>
      <c r="C4" s="1">
        <v>0.000391111796404193</v>
      </c>
      <c r="D4" s="1">
        <v>0.0197654672859147</v>
      </c>
      <c r="E4" s="1">
        <v>0.0103173697935326</v>
      </c>
      <c r="F4" s="1">
        <v>296.345918956162</v>
      </c>
      <c r="G4" s="1">
        <v>0.98753534160927</v>
      </c>
      <c r="H4" s="1">
        <v>0.000195120518061819</v>
      </c>
      <c r="I4" s="1">
        <v>0.859502380725979</v>
      </c>
      <c r="J4" s="1">
        <v>34.821910720421</v>
      </c>
      <c r="K4" s="1">
        <v>18.428353581884</v>
      </c>
      <c r="L4" s="1">
        <v>0.138807917789659</v>
      </c>
      <c r="M4" s="1">
        <v>4.39010096647111</v>
      </c>
      <c r="N4" s="1">
        <v>5.62426557366555</v>
      </c>
      <c r="O4" s="1">
        <v>7.98128102707753</v>
      </c>
      <c r="P4" s="1">
        <v>4.93172330476957</v>
      </c>
      <c r="Q4" s="1">
        <v>8.93728910445582</v>
      </c>
      <c r="R4" s="1">
        <v>6.20432708649659</v>
      </c>
      <c r="S4" s="1">
        <v>8.45380437504447</v>
      </c>
      <c r="T4" s="1">
        <v>9.40021143322814</v>
      </c>
    </row>
    <row r="5" spans="1:20">
      <c r="A5" s="2" t="s">
        <v>27</v>
      </c>
      <c r="B5" s="1">
        <v>0.968184700883283</v>
      </c>
      <c r="C5" s="1">
        <v>0.000358626455013652</v>
      </c>
      <c r="D5" s="1">
        <v>0.0189346863699653</v>
      </c>
      <c r="E5" s="1">
        <v>0.00942267469725769</v>
      </c>
      <c r="F5" s="1">
        <v>191.568013463953</v>
      </c>
      <c r="G5" s="1">
        <v>0.988040444295404</v>
      </c>
      <c r="H5" s="1">
        <v>0.000178867239983533</v>
      </c>
      <c r="I5" s="1">
        <v>0.882437105356902</v>
      </c>
      <c r="J5" s="1">
        <v>34.7116148590265</v>
      </c>
      <c r="K5" s="1">
        <v>18.2341903721394</v>
      </c>
      <c r="L5" s="1">
        <v>0.137954939263637</v>
      </c>
      <c r="M5" s="1">
        <v>4.43714117058991</v>
      </c>
      <c r="N5" s="1">
        <v>5.73611478830067</v>
      </c>
      <c r="O5" s="1">
        <v>7.93308497716666</v>
      </c>
      <c r="P5" s="1">
        <v>4.99206655157619</v>
      </c>
      <c r="Q5" s="1">
        <v>8.88512673457153</v>
      </c>
      <c r="R5" s="1">
        <v>6.31034014596544</v>
      </c>
      <c r="S5" s="1">
        <v>8.39705112949731</v>
      </c>
      <c r="T5" s="1">
        <v>9.37106675804082</v>
      </c>
    </row>
    <row r="6" spans="1:20">
      <c r="A6" s="2" t="s">
        <v>28</v>
      </c>
      <c r="B6" s="1">
        <v>0.967114578929145</v>
      </c>
      <c r="C6" s="1">
        <v>0.000371299703091058</v>
      </c>
      <c r="D6" s="1">
        <v>0.0192645017599036</v>
      </c>
      <c r="E6" s="1">
        <v>0.00960728254818031</v>
      </c>
      <c r="F6" s="1">
        <v>197.15775748727</v>
      </c>
      <c r="G6" s="1">
        <v>0.987523425354149</v>
      </c>
      <c r="H6" s="1">
        <v>0.000185153473397452</v>
      </c>
      <c r="I6" s="1">
        <v>0.876275373539662</v>
      </c>
      <c r="J6" s="1">
        <v>34.5668024953424</v>
      </c>
      <c r="K6" s="1">
        <v>18.0804224781908</v>
      </c>
      <c r="L6" s="1">
        <v>0.140825315427137</v>
      </c>
      <c r="M6" s="1">
        <v>4.50780479091195</v>
      </c>
      <c r="N6" s="1">
        <v>5.82512816345117</v>
      </c>
      <c r="O6" s="1">
        <v>8.07322803786925</v>
      </c>
      <c r="P6" s="1">
        <v>5.06205510723319</v>
      </c>
      <c r="Q6" s="1">
        <v>9.05127267324025</v>
      </c>
      <c r="R6" s="1">
        <v>6.39778896600939</v>
      </c>
      <c r="S6" s="1">
        <v>8.53235281095179</v>
      </c>
      <c r="T6" s="1">
        <v>9.54079566283259</v>
      </c>
    </row>
    <row r="7" spans="1:20">
      <c r="A7" s="2" t="s">
        <v>29</v>
      </c>
      <c r="B7" s="1">
        <v>0.96659551246282</v>
      </c>
      <c r="C7" s="1">
        <v>0.000376685463413067</v>
      </c>
      <c r="D7" s="1">
        <v>0.019405637228684</v>
      </c>
      <c r="E7" s="1">
        <v>0.00956280085874536</v>
      </c>
      <c r="F7" s="1">
        <v>202.879517872873</v>
      </c>
      <c r="G7" s="1">
        <v>0.987496964152668</v>
      </c>
      <c r="H7" s="1">
        <v>0.000187852346657323</v>
      </c>
      <c r="I7" s="1">
        <v>0.883562338980308</v>
      </c>
      <c r="J7" s="1">
        <v>34.6493654946432</v>
      </c>
      <c r="K7" s="1">
        <v>18.1756007828283</v>
      </c>
      <c r="L7" s="1">
        <v>0.140272840713658</v>
      </c>
      <c r="M7" s="1">
        <v>4.64317674964378</v>
      </c>
      <c r="N7" s="1">
        <v>5.9975989875443</v>
      </c>
      <c r="O7" s="1">
        <v>8.32215633102324</v>
      </c>
      <c r="P7" s="1">
        <v>5.1981081856167</v>
      </c>
      <c r="Q7" s="1">
        <v>9.3334199651412</v>
      </c>
      <c r="R7" s="1">
        <v>6.56996232279666</v>
      </c>
      <c r="S7" s="1">
        <v>8.77295242519538</v>
      </c>
      <c r="T7" s="1">
        <v>9.83076326373901</v>
      </c>
    </row>
    <row r="8" spans="1:20">
      <c r="A8" s="2" t="s">
        <v>30</v>
      </c>
      <c r="B8" s="1">
        <v>0.965430141537712</v>
      </c>
      <c r="C8" s="1">
        <v>0.00038986427684125</v>
      </c>
      <c r="D8" s="1">
        <v>0.0197406980573823</v>
      </c>
      <c r="E8" s="1">
        <v>0.00997159914021541</v>
      </c>
      <c r="F8" s="1">
        <v>199.592152411537</v>
      </c>
      <c r="G8" s="1">
        <v>0.98710417141221</v>
      </c>
      <c r="H8" s="1">
        <v>0.000194430511429663</v>
      </c>
      <c r="I8" s="1">
        <v>0.86879928514579</v>
      </c>
      <c r="J8" s="1">
        <v>34.2806673556726</v>
      </c>
      <c r="K8" s="1">
        <v>17.8290557407961</v>
      </c>
      <c r="L8" s="1">
        <v>0.143761790820911</v>
      </c>
      <c r="M8" s="1">
        <v>4.97224642316251</v>
      </c>
      <c r="N8" s="1">
        <v>6.42331164782189</v>
      </c>
      <c r="O8" s="1">
        <v>8.9133921959522</v>
      </c>
      <c r="P8" s="1">
        <v>5.53772302990963</v>
      </c>
      <c r="Q8" s="1">
        <v>10.0193305479013</v>
      </c>
      <c r="R8" s="1">
        <v>7.00644741590459</v>
      </c>
      <c r="S8" s="1">
        <v>9.35361518969732</v>
      </c>
      <c r="T8" s="1">
        <v>10.5458095423243</v>
      </c>
    </row>
    <row r="9" spans="1:20">
      <c r="A9" s="2" t="s">
        <v>31</v>
      </c>
      <c r="B9" s="1">
        <v>0.961160360388475</v>
      </c>
      <c r="C9" s="1">
        <v>0.000439262726960788</v>
      </c>
      <c r="D9" s="1">
        <v>0.0209535124495207</v>
      </c>
      <c r="E9" s="1">
        <v>0.0107686112915328</v>
      </c>
      <c r="F9" s="1">
        <v>232.325938844243</v>
      </c>
      <c r="G9" s="1">
        <v>0.985845268966758</v>
      </c>
      <c r="H9" s="1">
        <v>0.000218990896440894</v>
      </c>
      <c r="I9" s="1">
        <v>0.854383290278757</v>
      </c>
      <c r="J9" s="1">
        <v>33.7410699482548</v>
      </c>
      <c r="K9" s="1">
        <v>17.3761751498318</v>
      </c>
      <c r="L9" s="1">
        <v>0.150838486124007</v>
      </c>
      <c r="M9" s="1">
        <v>5.97564138892844</v>
      </c>
      <c r="N9" s="1">
        <v>7.6444965588497</v>
      </c>
      <c r="O9" s="1">
        <v>10.6481836362266</v>
      </c>
      <c r="P9" s="1">
        <v>6.56148468936885</v>
      </c>
      <c r="Q9" s="1">
        <v>11.9535697021183</v>
      </c>
      <c r="R9" s="1">
        <v>8.25734971227648</v>
      </c>
      <c r="S9" s="1">
        <v>11.0711185844544</v>
      </c>
      <c r="T9" s="1">
        <v>12.557405178559</v>
      </c>
    </row>
    <row r="10" spans="1:20">
      <c r="A10" s="2" t="s">
        <v>32</v>
      </c>
      <c r="B10" s="1">
        <v>0.961035254554245</v>
      </c>
      <c r="C10" s="1">
        <v>0.000440474390255074</v>
      </c>
      <c r="D10" s="1">
        <v>0.0209844605786668</v>
      </c>
      <c r="E10" s="1">
        <v>0.0106765456688513</v>
      </c>
      <c r="F10" s="1">
        <v>231.471428839552</v>
      </c>
      <c r="G10" s="1">
        <v>0.985842654297119</v>
      </c>
      <c r="H10" s="1">
        <v>0.000219633573886289</v>
      </c>
      <c r="I10" s="1">
        <v>0.856925452740585</v>
      </c>
      <c r="J10" s="1">
        <v>33.8288712874355</v>
      </c>
      <c r="K10" s="1">
        <v>17.4434318109701</v>
      </c>
      <c r="L10" s="1">
        <v>0.150252465001799</v>
      </c>
      <c r="M10" s="1">
        <v>6.7606516147467</v>
      </c>
      <c r="N10" s="1">
        <v>8.62286696412798</v>
      </c>
      <c r="O10" s="1">
        <v>11.9498640048977</v>
      </c>
      <c r="P10" s="1">
        <v>7.35925407412987</v>
      </c>
      <c r="Q10" s="1">
        <v>13.4199892435407</v>
      </c>
      <c r="R10" s="1">
        <v>9.26807678844227</v>
      </c>
      <c r="S10" s="1">
        <v>12.3638901063421</v>
      </c>
      <c r="T10" s="1">
        <v>14.1061505502606</v>
      </c>
    </row>
    <row r="11" spans="1:20">
      <c r="A11" s="2" t="s">
        <v>33</v>
      </c>
      <c r="B11" s="1">
        <v>0.956798674933117</v>
      </c>
      <c r="C11" s="1">
        <v>0.000489972730897726</v>
      </c>
      <c r="D11" s="1">
        <v>0.0221157604220624</v>
      </c>
      <c r="E11" s="1">
        <v>0.0110607075613558</v>
      </c>
      <c r="F11" s="1">
        <v>229.007411613452</v>
      </c>
      <c r="G11" s="1">
        <v>0.984523048185662</v>
      </c>
      <c r="H11" s="1">
        <v>0.000244274182334231</v>
      </c>
      <c r="I11" s="1">
        <v>0.858027072708113</v>
      </c>
      <c r="J11" s="1">
        <v>33.4609002697788</v>
      </c>
      <c r="K11" s="1">
        <v>17.087849130248</v>
      </c>
      <c r="L11" s="1">
        <v>0.156846616618269</v>
      </c>
      <c r="M11" s="1">
        <v>8.33587372276644</v>
      </c>
      <c r="N11" s="1">
        <v>10.5619382660758</v>
      </c>
      <c r="O11" s="1">
        <v>14.4733980852753</v>
      </c>
      <c r="P11" s="1">
        <v>8.95671381511591</v>
      </c>
      <c r="Q11" s="1">
        <v>16.2436133817967</v>
      </c>
      <c r="R11" s="1">
        <v>11.2765519267153</v>
      </c>
      <c r="S11" s="1">
        <v>14.8795535317536</v>
      </c>
      <c r="T11" s="1">
        <v>17.0873809407711</v>
      </c>
    </row>
    <row r="12" spans="1:20">
      <c r="A12" s="2" t="s">
        <v>34</v>
      </c>
      <c r="B12" s="1">
        <v>0.948553353553717</v>
      </c>
      <c r="C12" s="1">
        <v>0.000582768813031427</v>
      </c>
      <c r="D12" s="1">
        <v>0.0241167201755851</v>
      </c>
      <c r="E12" s="1">
        <v>0.012326593475018</v>
      </c>
      <c r="F12" s="1">
        <v>255.793074158305</v>
      </c>
      <c r="G12" s="1">
        <v>0.981944389517892</v>
      </c>
      <c r="H12" s="1">
        <v>0.000290449841280614</v>
      </c>
      <c r="I12" s="1">
        <v>0.834099290723744</v>
      </c>
      <c r="J12" s="1">
        <v>32.6749763033637</v>
      </c>
      <c r="K12" s="1">
        <v>16.3698562868759</v>
      </c>
      <c r="L12" s="1">
        <v>0.169564132640144</v>
      </c>
      <c r="M12" s="1">
        <v>13.5802151328069</v>
      </c>
      <c r="N12" s="1">
        <v>16.9547852275473</v>
      </c>
      <c r="O12" s="1">
        <v>22.1788816214186</v>
      </c>
      <c r="P12" s="1">
        <v>14.2313222761677</v>
      </c>
      <c r="Q12" s="1">
        <v>25.0459332447991</v>
      </c>
      <c r="R12" s="1">
        <v>17.9315521433796</v>
      </c>
      <c r="S12" s="1">
        <v>22.5794963044256</v>
      </c>
      <c r="T12" s="1">
        <v>26.477868318239</v>
      </c>
    </row>
    <row r="13" spans="1:20">
      <c r="A13" s="2" t="s">
        <v>35</v>
      </c>
      <c r="B13" s="1">
        <v>0.920216228168474</v>
      </c>
      <c r="C13" s="1">
        <v>0.000911132742542682</v>
      </c>
      <c r="D13" s="1">
        <v>0.030167009666516</v>
      </c>
      <c r="E13" s="1">
        <v>0.0149777557358948</v>
      </c>
      <c r="F13" s="1">
        <v>284.825388517564</v>
      </c>
      <c r="G13" s="1">
        <v>0.973044637205012</v>
      </c>
      <c r="H13" s="1">
        <v>0.000452844540409997</v>
      </c>
      <c r="I13" s="1">
        <v>0.79732328501524</v>
      </c>
      <c r="J13" s="1">
        <v>30.7906129390779</v>
      </c>
      <c r="K13" s="1">
        <v>14.5637561431734</v>
      </c>
      <c r="L13" s="1">
        <v>0.206902621045072</v>
      </c>
      <c r="M13" s="1">
        <v>24.6299116439917</v>
      </c>
      <c r="N13" s="1">
        <v>32.6894887684944</v>
      </c>
      <c r="O13" s="1">
        <v>34.4882230795283</v>
      </c>
      <c r="P13" s="1">
        <v>25.2949125670982</v>
      </c>
      <c r="Q13" s="1">
        <v>42.2367859188546</v>
      </c>
      <c r="R13" s="1">
        <v>35.2957559468359</v>
      </c>
      <c r="S13" s="1">
        <v>34.9178179271919</v>
      </c>
      <c r="T13" s="1">
        <v>46.7359029474066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opLeftCell="L1" workbookViewId="0">
      <selection activeCell="T1" sqref="T1"/>
    </sheetView>
  </sheetViews>
  <sheetFormatPr defaultColWidth="9.02654867256637" defaultRowHeight="13.85"/>
  <cols>
    <col min="1" max="1" width="20.3008849557522" style="1" customWidth="1"/>
    <col min="2" max="2" width="17.4513274336283" style="1" customWidth="1"/>
    <col min="3" max="3" width="21.9115044247788" style="1" customWidth="1"/>
    <col min="4" max="4" width="19.646017699115" style="1" customWidth="1"/>
    <col min="5" max="5" width="20.7787610619469" style="1" customWidth="1"/>
    <col min="6" max="6" width="12.9823008849558" style="1" customWidth="1"/>
    <col min="7" max="7" width="18.5840707964602" style="1" customWidth="1"/>
    <col min="8" max="8" width="21.9115044247788" style="1" customWidth="1"/>
    <col min="9" max="9" width="17.4513274336283" style="1" customWidth="1"/>
    <col min="10" max="11" width="14.0530973451327" style="1" customWidth="1"/>
    <col min="12" max="12" width="17.4513274336283" style="1" customWidth="1"/>
    <col min="13" max="16" width="12.7964601769912" style="1" customWidth="1"/>
    <col min="17" max="17" width="15.6371681415929" style="1" customWidth="1"/>
    <col min="18" max="18" width="14.8318584070796" style="1" customWidth="1"/>
    <col min="19" max="19" width="14.9734513274336" style="1" customWidth="1"/>
    <col min="20" max="20" width="19.6902654867257" style="1" customWidth="1"/>
    <col min="21" max="16384" width="9.02654867256637" style="1"/>
  </cols>
  <sheetData>
    <row r="1" spans="1:20">
      <c r="A1" s="2" t="s">
        <v>23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20</v>
      </c>
      <c r="G1" s="2" t="s">
        <v>16</v>
      </c>
      <c r="H1" s="2" t="s">
        <v>17</v>
      </c>
      <c r="I1" s="2" t="s">
        <v>19</v>
      </c>
      <c r="J1" s="2" t="s">
        <v>10</v>
      </c>
      <c r="K1" s="2" t="s">
        <v>9</v>
      </c>
      <c r="L1" s="2" t="s">
        <v>11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>
      <c r="A2" s="2" t="s">
        <v>24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1">
        <v>4.39585002325178</v>
      </c>
      <c r="N2" s="1">
        <v>5.63307774500998</v>
      </c>
      <c r="O2" s="1">
        <v>8.0023542258567</v>
      </c>
      <c r="P2" s="1">
        <v>4.93655866970286</v>
      </c>
      <c r="Q2" s="1">
        <v>8.95086371921645</v>
      </c>
      <c r="R2" s="1">
        <v>6.21183389915713</v>
      </c>
      <c r="S2" s="1">
        <v>8.47390219792913</v>
      </c>
      <c r="T2" s="1">
        <v>9.41458485051918</v>
      </c>
    </row>
    <row r="3" spans="1:20">
      <c r="A3" s="2" t="s">
        <v>25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1">
        <v>8.33587372276644</v>
      </c>
      <c r="N3" s="1">
        <v>10.5619382660758</v>
      </c>
      <c r="O3" s="1">
        <v>14.4733980852753</v>
      </c>
      <c r="P3" s="1">
        <v>8.95671381511591</v>
      </c>
      <c r="Q3" s="1">
        <v>16.2436133817967</v>
      </c>
      <c r="R3" s="1">
        <v>11.2765519267153</v>
      </c>
      <c r="S3" s="1">
        <v>14.8795535317536</v>
      </c>
      <c r="T3" s="1">
        <v>17.0873809407711</v>
      </c>
    </row>
    <row r="4" spans="1:20">
      <c r="A4" s="2" t="s">
        <v>26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1">
        <v>13.5802151328069</v>
      </c>
      <c r="N4" s="1">
        <v>16.9547852275473</v>
      </c>
      <c r="O4" s="1">
        <v>22.1788816214186</v>
      </c>
      <c r="P4" s="1">
        <v>14.2313222761677</v>
      </c>
      <c r="Q4" s="1">
        <v>25.0459332447991</v>
      </c>
      <c r="R4" s="1">
        <v>17.9315521433796</v>
      </c>
      <c r="S4" s="1">
        <v>22.5794963044256</v>
      </c>
      <c r="T4" s="1">
        <v>26.477868318239</v>
      </c>
    </row>
    <row r="5" spans="1:20">
      <c r="A5" s="2" t="s">
        <v>27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1">
        <v>24.6299116439917</v>
      </c>
      <c r="N5" s="1">
        <v>32.6894887684944</v>
      </c>
      <c r="O5" s="1">
        <v>34.4882230795283</v>
      </c>
      <c r="P5" s="1">
        <v>25.2949125670982</v>
      </c>
      <c r="Q5" s="1">
        <v>42.2367859188546</v>
      </c>
      <c r="R5" s="1">
        <v>35.2957559468359</v>
      </c>
      <c r="S5" s="1">
        <v>34.9178179271919</v>
      </c>
      <c r="T5" s="1">
        <v>46.7359029474066</v>
      </c>
    </row>
    <row r="6" spans="1:20">
      <c r="A6" s="2" t="s">
        <v>28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89</v>
      </c>
      <c r="L6" s="2" t="s">
        <v>90</v>
      </c>
      <c r="M6" s="1">
        <v>4.39433550062174</v>
      </c>
      <c r="N6" s="1">
        <v>5.63325274133733</v>
      </c>
      <c r="O6" s="1">
        <v>8.00755286169223</v>
      </c>
      <c r="P6" s="1">
        <v>4.93528511664316</v>
      </c>
      <c r="Q6" s="1">
        <v>8.95874095003522</v>
      </c>
      <c r="R6" s="1">
        <v>6.21322758326405</v>
      </c>
      <c r="S6" s="1">
        <v>8.47877406016354</v>
      </c>
      <c r="T6" s="1">
        <v>9.42270121951614</v>
      </c>
    </row>
    <row r="7" spans="1:20">
      <c r="A7" s="2" t="s">
        <v>29</v>
      </c>
      <c r="B7" s="2" t="s">
        <v>91</v>
      </c>
      <c r="C7" s="2" t="s">
        <v>92</v>
      </c>
      <c r="D7" s="2" t="s">
        <v>93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1">
        <v>4.39010096647111</v>
      </c>
      <c r="N7" s="1">
        <v>5.62426557366555</v>
      </c>
      <c r="O7" s="1">
        <v>7.98128102707753</v>
      </c>
      <c r="P7" s="1">
        <v>4.93172330476957</v>
      </c>
      <c r="Q7" s="1">
        <v>8.93728910445582</v>
      </c>
      <c r="R7" s="1">
        <v>6.20432708649659</v>
      </c>
      <c r="S7" s="1">
        <v>8.45380437504447</v>
      </c>
      <c r="T7" s="1">
        <v>9.40021143322814</v>
      </c>
    </row>
    <row r="8" spans="1:20">
      <c r="A8" s="2" t="s">
        <v>30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112</v>
      </c>
      <c r="M8" s="1">
        <v>4.43714117058991</v>
      </c>
      <c r="N8" s="1">
        <v>5.73611478830067</v>
      </c>
      <c r="O8" s="1">
        <v>7.93308497716666</v>
      </c>
      <c r="P8" s="1">
        <v>4.99206655157619</v>
      </c>
      <c r="Q8" s="1">
        <v>8.88512673457153</v>
      </c>
      <c r="R8" s="1">
        <v>6.31034014596544</v>
      </c>
      <c r="S8" s="1">
        <v>8.39705112949731</v>
      </c>
      <c r="T8" s="1">
        <v>9.37106675804082</v>
      </c>
    </row>
    <row r="9" spans="1:20">
      <c r="A9" s="2" t="s">
        <v>31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123</v>
      </c>
      <c r="M9" s="1">
        <v>4.50780479091195</v>
      </c>
      <c r="N9" s="1">
        <v>5.82512816345117</v>
      </c>
      <c r="O9" s="1">
        <v>8.07322803786925</v>
      </c>
      <c r="P9" s="1">
        <v>5.06205510723319</v>
      </c>
      <c r="Q9" s="1">
        <v>9.05127267324025</v>
      </c>
      <c r="R9" s="1">
        <v>6.39778896600939</v>
      </c>
      <c r="S9" s="1">
        <v>8.53235281095179</v>
      </c>
      <c r="T9" s="1">
        <v>9.54079566283259</v>
      </c>
    </row>
    <row r="10" spans="1:20">
      <c r="A10" s="2" t="s">
        <v>32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128</v>
      </c>
      <c r="G10" s="2" t="s">
        <v>129</v>
      </c>
      <c r="H10" s="2" t="s">
        <v>130</v>
      </c>
      <c r="I10" s="2" t="s">
        <v>131</v>
      </c>
      <c r="J10" s="2" t="s">
        <v>132</v>
      </c>
      <c r="K10" s="2" t="s">
        <v>133</v>
      </c>
      <c r="L10" s="2" t="s">
        <v>134</v>
      </c>
      <c r="M10" s="1">
        <v>4.64317674964378</v>
      </c>
      <c r="N10" s="1">
        <v>5.9975989875443</v>
      </c>
      <c r="O10" s="1">
        <v>8.32215633102324</v>
      </c>
      <c r="P10" s="1">
        <v>5.1981081856167</v>
      </c>
      <c r="Q10" s="1">
        <v>9.3334199651412</v>
      </c>
      <c r="R10" s="1">
        <v>6.56996232279666</v>
      </c>
      <c r="S10" s="1">
        <v>8.77295242519538</v>
      </c>
      <c r="T10" s="1">
        <v>9.83076326373901</v>
      </c>
    </row>
    <row r="11" spans="1:20">
      <c r="A11" s="2" t="s">
        <v>33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142</v>
      </c>
      <c r="J11" s="2" t="s">
        <v>143</v>
      </c>
      <c r="K11" s="2" t="s">
        <v>144</v>
      </c>
      <c r="L11" s="2" t="s">
        <v>145</v>
      </c>
      <c r="M11" s="1">
        <v>4.97224642316251</v>
      </c>
      <c r="N11" s="1">
        <v>6.42331164782189</v>
      </c>
      <c r="O11" s="1">
        <v>8.9133921959522</v>
      </c>
      <c r="P11" s="1">
        <v>5.53772302990963</v>
      </c>
      <c r="Q11" s="1">
        <v>10.0193305479013</v>
      </c>
      <c r="R11" s="1">
        <v>7.00644741590459</v>
      </c>
      <c r="S11" s="1">
        <v>9.35361518969732</v>
      </c>
      <c r="T11" s="1">
        <v>10.5458095423243</v>
      </c>
    </row>
    <row r="12" spans="1:20">
      <c r="A12" s="2" t="s">
        <v>34</v>
      </c>
      <c r="B12" s="2" t="s">
        <v>146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156</v>
      </c>
      <c r="M12" s="1">
        <v>5.97564138892844</v>
      </c>
      <c r="N12" s="1">
        <v>7.6444965588497</v>
      </c>
      <c r="O12" s="1">
        <v>10.6481836362266</v>
      </c>
      <c r="P12" s="1">
        <v>6.56148468936885</v>
      </c>
      <c r="Q12" s="1">
        <v>11.9535697021183</v>
      </c>
      <c r="R12" s="1">
        <v>8.25734971227648</v>
      </c>
      <c r="S12" s="1">
        <v>11.0711185844544</v>
      </c>
      <c r="T12" s="1">
        <v>12.557405178559</v>
      </c>
    </row>
    <row r="13" spans="1:20">
      <c r="A13" s="2" t="s">
        <v>35</v>
      </c>
      <c r="B13" s="2" t="s">
        <v>157</v>
      </c>
      <c r="C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165</v>
      </c>
      <c r="K13" s="2" t="s">
        <v>166</v>
      </c>
      <c r="L13" s="2" t="s">
        <v>167</v>
      </c>
      <c r="M13" s="1">
        <v>6.7606516147467</v>
      </c>
      <c r="N13" s="1">
        <v>8.62286696412798</v>
      </c>
      <c r="O13" s="1">
        <v>11.9498640048977</v>
      </c>
      <c r="P13" s="1">
        <v>7.35925407412987</v>
      </c>
      <c r="Q13" s="1">
        <v>13.4199892435407</v>
      </c>
      <c r="R13" s="1">
        <v>9.26807678844227</v>
      </c>
      <c r="S13" s="1">
        <v>12.3638901063421</v>
      </c>
      <c r="T13" s="1">
        <v>14.1061505502606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SRCC_Correlation</vt:lpstr>
      <vt:lpstr>SRCC_PValue</vt:lpstr>
      <vt:lpstr>PLCC_Correlation</vt:lpstr>
      <vt:lpstr>PLCC_PValue</vt:lpstr>
      <vt:lpstr>Dataset_vs_ModelPerf_Merged</vt:lpstr>
      <vt:lpstr>Summary_Mean_Std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Weixiang</cp:lastModifiedBy>
  <dcterms:created xsi:type="dcterms:W3CDTF">2026-03-27T10:04:00Z</dcterms:created>
  <dcterms:modified xsi:type="dcterms:W3CDTF">2026-05-16T04:34:00Z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B0968C6CB04D4406AED79FE3C9893988_13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